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OneDrive\Desktop\HitungUangMasuk\"/>
    </mc:Choice>
  </mc:AlternateContent>
  <xr:revisionPtr revIDLastSave="0" documentId="13_ncr:1_{6CE0D2F2-A3AD-48E0-A2F0-D9CFFE7C0DB8}" xr6:coauthVersionLast="47" xr6:coauthVersionMax="47" xr10:uidLastSave="{00000000-0000-0000-0000-000000000000}"/>
  <bookViews>
    <workbookView xWindow="-120" yWindow="-120" windowWidth="20730" windowHeight="11040" firstSheet="14" activeTab="21" xr2:uid="{C4F8231D-9C1C-4DD2-891C-6298E113D350}"/>
  </bookViews>
  <sheets>
    <sheet name="01-06" sheetId="1" r:id="rId1"/>
    <sheet name="02-06" sheetId="2" r:id="rId2"/>
    <sheet name="03-06" sheetId="4" r:id="rId3"/>
    <sheet name="04-06" sheetId="5" r:id="rId4"/>
    <sheet name="05-06" sheetId="6" r:id="rId5"/>
    <sheet name="06-06" sheetId="7" r:id="rId6"/>
    <sheet name="08-06" sheetId="8" r:id="rId7"/>
    <sheet name="09-06" sheetId="9" r:id="rId8"/>
    <sheet name="10-06" sheetId="10" r:id="rId9"/>
    <sheet name="11-06" sheetId="11" r:id="rId10"/>
    <sheet name="12-06" sheetId="12" r:id="rId11"/>
    <sheet name="13-06" sheetId="13" r:id="rId12"/>
    <sheet name="15-06" sheetId="14" r:id="rId13"/>
    <sheet name="16-06" sheetId="15" r:id="rId14"/>
    <sheet name="17-06" sheetId="16" r:id="rId15"/>
    <sheet name="18-06" sheetId="17" r:id="rId16"/>
    <sheet name="19-06" sheetId="18" r:id="rId17"/>
    <sheet name="20-06" sheetId="19" r:id="rId18"/>
    <sheet name="22-06" sheetId="20" r:id="rId19"/>
    <sheet name="23-06" sheetId="22" r:id="rId20"/>
    <sheet name="24-06" sheetId="23" r:id="rId21"/>
    <sheet name="25-06" sheetId="24" r:id="rId22"/>
  </sheets>
  <definedNames>
    <definedName name="_xlnm.Print_Area" localSheetId="0">'01-06'!$B$1:$O$88</definedName>
    <definedName name="_xlnm.Print_Area" localSheetId="1">'02-06'!$B$2:$O$81</definedName>
    <definedName name="_xlnm.Print_Area" localSheetId="2">'03-06'!$B$2:$O$83</definedName>
    <definedName name="_xlnm.Print_Area" localSheetId="3">'04-06'!$B$2:$O$95</definedName>
    <definedName name="_xlnm.Print_Area" localSheetId="4">'05-06'!$B$2:$O$92</definedName>
    <definedName name="_xlnm.Print_Area" localSheetId="8">'10-06'!$B$2:$O$78</definedName>
    <definedName name="_xlnm.Print_Area" localSheetId="9">'11-06'!$B$2:$O$79</definedName>
    <definedName name="_xlnm.Print_Area" localSheetId="10">'12-06'!$B$2:$O$78</definedName>
    <definedName name="_xlnm.Print_Area" localSheetId="11">'13-06'!$B$2:$O$84</definedName>
    <definedName name="_xlnm.Print_Area" localSheetId="12">'15-06'!$B$2:$O$102</definedName>
    <definedName name="_xlnm.Print_Area" localSheetId="13">'16-06'!$B$2:$O$72</definedName>
    <definedName name="_xlnm.Print_Area" localSheetId="14">'17-06'!$B$2:$O$85</definedName>
    <definedName name="_xlnm.Print_Area" localSheetId="15">'18-06'!$B$2:$O$91</definedName>
    <definedName name="_xlnm.Print_Area" localSheetId="16">'19-06'!$B$2:$O$89</definedName>
    <definedName name="_xlnm.Print_Area" localSheetId="18">'22-06'!$B$2:$O$81</definedName>
    <definedName name="_xlnm.Print_Area" localSheetId="21">'25-06'!$B$2:$O$77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8" i="24" l="1"/>
  <c r="J57" i="24"/>
  <c r="L13" i="24"/>
  <c r="J10" i="24"/>
  <c r="J11" i="24"/>
  <c r="J12" i="24"/>
  <c r="J9" i="24"/>
  <c r="L29" i="24"/>
  <c r="L30" i="24"/>
  <c r="L31" i="24"/>
  <c r="J23" i="24"/>
  <c r="J24" i="24"/>
  <c r="J25" i="24"/>
  <c r="J27" i="24"/>
  <c r="J28" i="24"/>
  <c r="J18" i="24"/>
  <c r="J19" i="24"/>
  <c r="J20" i="24"/>
  <c r="J21" i="24"/>
  <c r="J22" i="24"/>
  <c r="L39" i="24"/>
  <c r="L38" i="24"/>
  <c r="J35" i="24"/>
  <c r="J36" i="24"/>
  <c r="J37" i="24"/>
  <c r="J34" i="24"/>
  <c r="L50" i="24"/>
  <c r="J49" i="24"/>
  <c r="L56" i="24"/>
  <c r="L55" i="24"/>
  <c r="J54" i="24"/>
  <c r="M59" i="24"/>
  <c r="L59" i="24"/>
  <c r="K59" i="24"/>
  <c r="J59" i="24"/>
  <c r="M52" i="24"/>
  <c r="L52" i="24"/>
  <c r="K52" i="24"/>
  <c r="J52" i="24"/>
  <c r="M40" i="24"/>
  <c r="L40" i="24"/>
  <c r="K40" i="24"/>
  <c r="J40" i="24"/>
  <c r="M32" i="24"/>
  <c r="L32" i="24"/>
  <c r="K32" i="24"/>
  <c r="J32" i="24"/>
  <c r="M16" i="24"/>
  <c r="L16" i="24"/>
  <c r="K16" i="24"/>
  <c r="J16" i="24"/>
  <c r="J59" i="23"/>
  <c r="L58" i="23"/>
  <c r="L57" i="23"/>
  <c r="L17" i="23"/>
  <c r="L18" i="23"/>
  <c r="L19" i="23"/>
  <c r="L20" i="23"/>
  <c r="L22" i="23"/>
  <c r="L23" i="23"/>
  <c r="J9" i="23"/>
  <c r="J10" i="23"/>
  <c r="J11" i="23"/>
  <c r="J12" i="23"/>
  <c r="J13" i="23"/>
  <c r="J14" i="23"/>
  <c r="J15" i="23"/>
  <c r="J16" i="23"/>
  <c r="L32" i="23"/>
  <c r="L33" i="23"/>
  <c r="L34" i="23"/>
  <c r="L31" i="23"/>
  <c r="J26" i="23"/>
  <c r="J27" i="23"/>
  <c r="J28" i="23"/>
  <c r="J29" i="23"/>
  <c r="J30" i="23"/>
  <c r="J37" i="23"/>
  <c r="J38" i="23"/>
  <c r="L40" i="23"/>
  <c r="L41" i="23"/>
  <c r="L39" i="23"/>
  <c r="L55" i="23"/>
  <c r="L54" i="23"/>
  <c r="J52" i="23"/>
  <c r="J53" i="23"/>
  <c r="J51" i="23"/>
  <c r="J62" i="23"/>
  <c r="M63" i="23"/>
  <c r="L63" i="23"/>
  <c r="K63" i="23"/>
  <c r="J63" i="23"/>
  <c r="M60" i="23"/>
  <c r="L60" i="23"/>
  <c r="K60" i="23"/>
  <c r="J60" i="23"/>
  <c r="M42" i="23"/>
  <c r="L42" i="23"/>
  <c r="K42" i="23"/>
  <c r="J42" i="23"/>
  <c r="M35" i="23"/>
  <c r="L35" i="23"/>
  <c r="K35" i="23"/>
  <c r="J35" i="23"/>
  <c r="M24" i="23"/>
  <c r="L24" i="23"/>
  <c r="K24" i="23"/>
  <c r="J24" i="23"/>
  <c r="J55" i="22"/>
  <c r="J56" i="22"/>
  <c r="J57" i="22"/>
  <c r="J58" i="22"/>
  <c r="L59" i="22"/>
  <c r="L60" i="22"/>
  <c r="L61" i="22"/>
  <c r="J64" i="22"/>
  <c r="J65" i="22"/>
  <c r="J66" i="22"/>
  <c r="L67" i="22"/>
  <c r="L43" i="22"/>
  <c r="L44" i="22"/>
  <c r="L45" i="22"/>
  <c r="J38" i="22"/>
  <c r="J39" i="22"/>
  <c r="J40" i="22"/>
  <c r="J41" i="22"/>
  <c r="J42" i="22"/>
  <c r="J37" i="22"/>
  <c r="L32" i="22"/>
  <c r="L33" i="22"/>
  <c r="L34" i="22"/>
  <c r="L31" i="22"/>
  <c r="J23" i="22"/>
  <c r="J24" i="22"/>
  <c r="J25" i="22"/>
  <c r="J26" i="22"/>
  <c r="J27" i="22"/>
  <c r="J29" i="22"/>
  <c r="J30" i="22"/>
  <c r="J22" i="22"/>
  <c r="L16" i="22"/>
  <c r="L18" i="22"/>
  <c r="L19" i="22"/>
  <c r="J10" i="22"/>
  <c r="J12" i="22"/>
  <c r="M68" i="22"/>
  <c r="L68" i="22"/>
  <c r="K68" i="22"/>
  <c r="J68" i="22"/>
  <c r="M62" i="22"/>
  <c r="L62" i="22"/>
  <c r="K62" i="22"/>
  <c r="J62" i="22"/>
  <c r="M46" i="22"/>
  <c r="K46" i="22"/>
  <c r="J46" i="22"/>
  <c r="M35" i="22"/>
  <c r="K35" i="22"/>
  <c r="M20" i="22"/>
  <c r="K20" i="22"/>
  <c r="L17" i="20"/>
  <c r="L18" i="20"/>
  <c r="L16" i="20"/>
  <c r="J12" i="20"/>
  <c r="J13" i="20"/>
  <c r="J14" i="20"/>
  <c r="J15" i="20"/>
  <c r="J9" i="20"/>
  <c r="L29" i="20"/>
  <c r="L30" i="20"/>
  <c r="L31" i="20"/>
  <c r="L32" i="20"/>
  <c r="L33" i="20"/>
  <c r="L34" i="20"/>
  <c r="L28" i="20"/>
  <c r="J26" i="20"/>
  <c r="J27" i="20"/>
  <c r="J22" i="20"/>
  <c r="J23" i="20"/>
  <c r="J24" i="20"/>
  <c r="J21" i="20"/>
  <c r="L40" i="20"/>
  <c r="L41" i="20"/>
  <c r="L42" i="20"/>
  <c r="L43" i="20"/>
  <c r="L44" i="20"/>
  <c r="L45" i="20"/>
  <c r="J38" i="20"/>
  <c r="J39" i="20"/>
  <c r="J37" i="20"/>
  <c r="L59" i="20"/>
  <c r="J57" i="20"/>
  <c r="J58" i="20"/>
  <c r="J56" i="20"/>
  <c r="L55" i="20"/>
  <c r="M64" i="20"/>
  <c r="L64" i="20"/>
  <c r="K64" i="20"/>
  <c r="J64" i="20"/>
  <c r="M60" i="20"/>
  <c r="L60" i="20"/>
  <c r="K60" i="20"/>
  <c r="J60" i="20"/>
  <c r="M46" i="20"/>
  <c r="L46" i="20"/>
  <c r="K46" i="20"/>
  <c r="J46" i="20"/>
  <c r="M35" i="20"/>
  <c r="L35" i="20"/>
  <c r="K35" i="20"/>
  <c r="J35" i="20"/>
  <c r="M19" i="20"/>
  <c r="L19" i="20"/>
  <c r="K19" i="20"/>
  <c r="J19" i="20"/>
  <c r="J11" i="19"/>
  <c r="L13" i="19"/>
  <c r="L14" i="19"/>
  <c r="L15" i="19"/>
  <c r="L16" i="19"/>
  <c r="L12" i="19"/>
  <c r="J9" i="19"/>
  <c r="J10" i="19"/>
  <c r="L24" i="19"/>
  <c r="L25" i="19"/>
  <c r="L26" i="19"/>
  <c r="L27" i="19"/>
  <c r="J20" i="19"/>
  <c r="J21" i="19"/>
  <c r="J22" i="19"/>
  <c r="J19" i="19"/>
  <c r="L38" i="19"/>
  <c r="L39" i="19"/>
  <c r="J31" i="19"/>
  <c r="J32" i="19"/>
  <c r="J34" i="19"/>
  <c r="J35" i="19"/>
  <c r="J37" i="19"/>
  <c r="J30" i="19"/>
  <c r="L56" i="19"/>
  <c r="L54" i="19"/>
  <c r="J55" i="19"/>
  <c r="J53" i="19"/>
  <c r="L52" i="19"/>
  <c r="L51" i="19"/>
  <c r="J50" i="19"/>
  <c r="J49" i="19"/>
  <c r="M61" i="19"/>
  <c r="L61" i="19"/>
  <c r="K61" i="19"/>
  <c r="J61" i="19"/>
  <c r="M57" i="19"/>
  <c r="L57" i="19"/>
  <c r="K57" i="19"/>
  <c r="J57" i="19"/>
  <c r="M40" i="19"/>
  <c r="L40" i="19"/>
  <c r="K40" i="19"/>
  <c r="J40" i="19"/>
  <c r="M28" i="19"/>
  <c r="L28" i="19"/>
  <c r="K28" i="19"/>
  <c r="J28" i="19"/>
  <c r="M17" i="19"/>
  <c r="L17" i="19"/>
  <c r="K17" i="19"/>
  <c r="J17" i="19"/>
  <c r="J67" i="18"/>
  <c r="J66" i="18"/>
  <c r="J65" i="18"/>
  <c r="J64" i="18"/>
  <c r="J63" i="18"/>
  <c r="L62" i="18"/>
  <c r="J61" i="18"/>
  <c r="L60" i="18"/>
  <c r="J9" i="18"/>
  <c r="J11" i="18"/>
  <c r="J12" i="18"/>
  <c r="J13" i="18"/>
  <c r="J14" i="18"/>
  <c r="J15" i="18"/>
  <c r="J16" i="18"/>
  <c r="J17" i="18"/>
  <c r="J18" i="18"/>
  <c r="J19" i="18"/>
  <c r="L20" i="18"/>
  <c r="L21" i="18"/>
  <c r="L22" i="18"/>
  <c r="J25" i="18"/>
  <c r="J26" i="18"/>
  <c r="J27" i="18"/>
  <c r="J28" i="18"/>
  <c r="J29" i="18"/>
  <c r="J30" i="18"/>
  <c r="L31" i="18"/>
  <c r="L32" i="18"/>
  <c r="L33" i="18"/>
  <c r="L34" i="18"/>
  <c r="L36" i="18"/>
  <c r="L47" i="18"/>
  <c r="L48" i="18"/>
  <c r="L49" i="18"/>
  <c r="J39" i="18"/>
  <c r="J40" i="18"/>
  <c r="J42" i="18"/>
  <c r="J43" i="18"/>
  <c r="J44" i="18"/>
  <c r="J45" i="18"/>
  <c r="J46" i="18"/>
  <c r="L71" i="18"/>
  <c r="J70" i="18"/>
  <c r="J59" i="18"/>
  <c r="M72" i="18"/>
  <c r="L72" i="18"/>
  <c r="K72" i="18"/>
  <c r="J72" i="18"/>
  <c r="M68" i="18"/>
  <c r="L68" i="18"/>
  <c r="K68" i="18"/>
  <c r="J68" i="18"/>
  <c r="M50" i="18"/>
  <c r="L50" i="18"/>
  <c r="K50" i="18"/>
  <c r="J50" i="18"/>
  <c r="M37" i="18"/>
  <c r="L37" i="18"/>
  <c r="K37" i="18"/>
  <c r="J37" i="18"/>
  <c r="M23" i="18"/>
  <c r="L23" i="18"/>
  <c r="K23" i="18"/>
  <c r="J23" i="18"/>
  <c r="L66" i="17"/>
  <c r="L13" i="17"/>
  <c r="L14" i="17"/>
  <c r="L15" i="17"/>
  <c r="J10" i="17"/>
  <c r="J12" i="17"/>
  <c r="L30" i="17"/>
  <c r="L31" i="17"/>
  <c r="L32" i="17"/>
  <c r="L33" i="17"/>
  <c r="L34" i="17"/>
  <c r="J19" i="17"/>
  <c r="J20" i="17"/>
  <c r="J21" i="17"/>
  <c r="J22" i="17"/>
  <c r="J23" i="17"/>
  <c r="J24" i="17"/>
  <c r="J25" i="17"/>
  <c r="J26" i="17"/>
  <c r="J27" i="17"/>
  <c r="J28" i="17"/>
  <c r="J29" i="17"/>
  <c r="J18" i="17"/>
  <c r="L44" i="17"/>
  <c r="L45" i="17"/>
  <c r="L46" i="17"/>
  <c r="L47" i="17"/>
  <c r="L43" i="17"/>
  <c r="J42" i="17"/>
  <c r="J40" i="17"/>
  <c r="J41" i="17"/>
  <c r="J37" i="17"/>
  <c r="J65" i="17"/>
  <c r="L64" i="17"/>
  <c r="L63" i="17"/>
  <c r="L61" i="17"/>
  <c r="J58" i="17"/>
  <c r="J59" i="17"/>
  <c r="J60" i="17"/>
  <c r="J57" i="17"/>
  <c r="L73" i="17"/>
  <c r="L72" i="17"/>
  <c r="J71" i="17"/>
  <c r="J70" i="17"/>
  <c r="M74" i="17"/>
  <c r="L74" i="17"/>
  <c r="K74" i="17"/>
  <c r="J74" i="17"/>
  <c r="M68" i="17"/>
  <c r="L68" i="17"/>
  <c r="K68" i="17"/>
  <c r="J68" i="17"/>
  <c r="M48" i="17"/>
  <c r="L48" i="17"/>
  <c r="K48" i="17"/>
  <c r="J48" i="17"/>
  <c r="M35" i="17"/>
  <c r="L35" i="17"/>
  <c r="K35" i="17"/>
  <c r="J35" i="17"/>
  <c r="M16" i="17"/>
  <c r="L16" i="17"/>
  <c r="K16" i="17"/>
  <c r="J16" i="17"/>
  <c r="L57" i="16"/>
  <c r="L63" i="16"/>
  <c r="J62" i="16"/>
  <c r="J10" i="16"/>
  <c r="J12" i="16"/>
  <c r="J13" i="16"/>
  <c r="J14" i="16"/>
  <c r="J15" i="16"/>
  <c r="J16" i="16"/>
  <c r="J9" i="16"/>
  <c r="L19" i="16"/>
  <c r="L20" i="16"/>
  <c r="L21" i="16"/>
  <c r="L18" i="16"/>
  <c r="J25" i="16"/>
  <c r="J26" i="16"/>
  <c r="J27" i="16"/>
  <c r="J31" i="16"/>
  <c r="L32" i="16"/>
  <c r="J36" i="16"/>
  <c r="J37" i="16"/>
  <c r="J38" i="16"/>
  <c r="J39" i="16"/>
  <c r="J40" i="16"/>
  <c r="J41" i="16"/>
  <c r="J35" i="16"/>
  <c r="L43" i="16"/>
  <c r="L44" i="16"/>
  <c r="L42" i="16"/>
  <c r="L58" i="16"/>
  <c r="J54" i="16"/>
  <c r="J55" i="16"/>
  <c r="J56" i="16"/>
  <c r="J59" i="16"/>
  <c r="J60" i="16"/>
  <c r="L61" i="16"/>
  <c r="J66" i="16"/>
  <c r="L67" i="16"/>
  <c r="M68" i="16"/>
  <c r="L68" i="16"/>
  <c r="K68" i="16"/>
  <c r="J68" i="16"/>
  <c r="M64" i="16"/>
  <c r="L64" i="16"/>
  <c r="K64" i="16"/>
  <c r="J64" i="16"/>
  <c r="M45" i="16"/>
  <c r="K45" i="16"/>
  <c r="J45" i="16"/>
  <c r="M33" i="16"/>
  <c r="K33" i="16"/>
  <c r="J33" i="16"/>
  <c r="M22" i="16"/>
  <c r="L22" i="16"/>
  <c r="K22" i="16"/>
  <c r="J22" i="16"/>
  <c r="L50" i="15"/>
  <c r="L49" i="15"/>
  <c r="J48" i="15"/>
  <c r="L14" i="15"/>
  <c r="J11" i="15"/>
  <c r="L26" i="15"/>
  <c r="L27" i="15"/>
  <c r="L25" i="15"/>
  <c r="J23" i="15"/>
  <c r="J24" i="15"/>
  <c r="J18" i="15"/>
  <c r="J19" i="15"/>
  <c r="J20" i="15"/>
  <c r="J21" i="15"/>
  <c r="J22" i="15"/>
  <c r="J17" i="15"/>
  <c r="J31" i="15"/>
  <c r="J32" i="15"/>
  <c r="J30" i="15"/>
  <c r="L34" i="15"/>
  <c r="L33" i="15"/>
  <c r="L45" i="15"/>
  <c r="J46" i="15"/>
  <c r="J44" i="15"/>
  <c r="M55" i="15"/>
  <c r="L55" i="15"/>
  <c r="K55" i="15"/>
  <c r="J55" i="15"/>
  <c r="M51" i="15"/>
  <c r="L51" i="15"/>
  <c r="K51" i="15"/>
  <c r="J51" i="15"/>
  <c r="M35" i="15"/>
  <c r="L35" i="15"/>
  <c r="K35" i="15"/>
  <c r="J35" i="15"/>
  <c r="M28" i="15"/>
  <c r="L28" i="15"/>
  <c r="K28" i="15"/>
  <c r="J28" i="15"/>
  <c r="M15" i="15"/>
  <c r="L15" i="15"/>
  <c r="K15" i="15"/>
  <c r="J15" i="15"/>
  <c r="L77" i="14"/>
  <c r="J76" i="14"/>
  <c r="L75" i="14"/>
  <c r="L83" i="14"/>
  <c r="L20" i="14"/>
  <c r="L21" i="14"/>
  <c r="L22" i="14"/>
  <c r="L23" i="14"/>
  <c r="L24" i="14"/>
  <c r="L25" i="14"/>
  <c r="L19" i="14"/>
  <c r="J10" i="14"/>
  <c r="J11" i="14"/>
  <c r="J12" i="14"/>
  <c r="J13" i="14"/>
  <c r="J14" i="14"/>
  <c r="J15" i="14"/>
  <c r="J17" i="14"/>
  <c r="J18" i="14"/>
  <c r="J9" i="14"/>
  <c r="L34" i="14"/>
  <c r="L35" i="14"/>
  <c r="L36" i="14"/>
  <c r="L37" i="14"/>
  <c r="L38" i="14"/>
  <c r="L33" i="14"/>
  <c r="J28" i="14"/>
  <c r="J29" i="14"/>
  <c r="J31" i="14"/>
  <c r="J32" i="14"/>
  <c r="L51" i="14"/>
  <c r="L52" i="14"/>
  <c r="L53" i="14"/>
  <c r="L54" i="14"/>
  <c r="L55" i="14"/>
  <c r="L56" i="14"/>
  <c r="L57" i="14"/>
  <c r="L50" i="14"/>
  <c r="J42" i="14"/>
  <c r="J43" i="14"/>
  <c r="J44" i="14"/>
  <c r="J45" i="14"/>
  <c r="J46" i="14"/>
  <c r="J47" i="14"/>
  <c r="J48" i="14"/>
  <c r="J49" i="14"/>
  <c r="J41" i="14"/>
  <c r="L82" i="14"/>
  <c r="L81" i="14"/>
  <c r="J80" i="14"/>
  <c r="L74" i="14"/>
  <c r="L73" i="14"/>
  <c r="J70" i="14"/>
  <c r="J71" i="14"/>
  <c r="J72" i="14"/>
  <c r="L68" i="14"/>
  <c r="J67" i="14"/>
  <c r="L42" i="13"/>
  <c r="L60" i="13"/>
  <c r="M85" i="14"/>
  <c r="L85" i="14"/>
  <c r="K85" i="14"/>
  <c r="J85" i="14"/>
  <c r="M78" i="14"/>
  <c r="K78" i="14"/>
  <c r="J78" i="14"/>
  <c r="M58" i="14"/>
  <c r="L58" i="14"/>
  <c r="K58" i="14"/>
  <c r="J58" i="14"/>
  <c r="M39" i="14"/>
  <c r="L39" i="14"/>
  <c r="K39" i="14"/>
  <c r="J39" i="14"/>
  <c r="M26" i="14"/>
  <c r="L26" i="14"/>
  <c r="K26" i="14"/>
  <c r="J26" i="14"/>
  <c r="L14" i="13"/>
  <c r="L15" i="13"/>
  <c r="J10" i="13"/>
  <c r="J11" i="13"/>
  <c r="J12" i="13"/>
  <c r="J13" i="13"/>
  <c r="L26" i="13"/>
  <c r="L27" i="13"/>
  <c r="L28" i="13"/>
  <c r="J19" i="13"/>
  <c r="J20" i="13"/>
  <c r="J24" i="13"/>
  <c r="J25" i="13"/>
  <c r="J18" i="13"/>
  <c r="L43" i="13"/>
  <c r="L44" i="13"/>
  <c r="L45" i="13"/>
  <c r="J33" i="13"/>
  <c r="J34" i="13"/>
  <c r="J35" i="13"/>
  <c r="J36" i="13"/>
  <c r="J38" i="13"/>
  <c r="J41" i="13"/>
  <c r="J32" i="13"/>
  <c r="J55" i="13"/>
  <c r="J56" i="13"/>
  <c r="J57" i="13"/>
  <c r="J58" i="13"/>
  <c r="L59" i="13"/>
  <c r="J63" i="13"/>
  <c r="J64" i="13"/>
  <c r="M67" i="13"/>
  <c r="L67" i="13"/>
  <c r="K67" i="13"/>
  <c r="J67" i="13"/>
  <c r="M61" i="13"/>
  <c r="L61" i="13"/>
  <c r="K61" i="13"/>
  <c r="J61" i="13"/>
  <c r="M46" i="13"/>
  <c r="L46" i="13"/>
  <c r="K46" i="13"/>
  <c r="J46" i="13"/>
  <c r="M30" i="13"/>
  <c r="L30" i="13"/>
  <c r="K30" i="13"/>
  <c r="J30" i="13"/>
  <c r="M16" i="13"/>
  <c r="L16" i="13"/>
  <c r="K16" i="13"/>
  <c r="J16" i="13"/>
  <c r="J60" i="12"/>
  <c r="J59" i="12"/>
  <c r="J58" i="12"/>
  <c r="L40" i="12"/>
  <c r="L41" i="12"/>
  <c r="L42" i="12"/>
  <c r="L43" i="12"/>
  <c r="L39" i="12"/>
  <c r="J34" i="12"/>
  <c r="J35" i="12"/>
  <c r="J36" i="12"/>
  <c r="J37" i="12"/>
  <c r="J38" i="12"/>
  <c r="J33" i="12"/>
  <c r="L26" i="12"/>
  <c r="L27" i="12"/>
  <c r="L28" i="12"/>
  <c r="L29" i="12"/>
  <c r="L30" i="12"/>
  <c r="L25" i="12"/>
  <c r="J19" i="12"/>
  <c r="J20" i="12"/>
  <c r="J21" i="12"/>
  <c r="J22" i="12"/>
  <c r="J23" i="12"/>
  <c r="J24" i="12"/>
  <c r="J18" i="12"/>
  <c r="L13" i="12"/>
  <c r="L14" i="12"/>
  <c r="L15" i="12"/>
  <c r="L12" i="12"/>
  <c r="J10" i="12"/>
  <c r="J11" i="12"/>
  <c r="J54" i="12"/>
  <c r="J55" i="12"/>
  <c r="J53" i="12"/>
  <c r="J9" i="12"/>
  <c r="M61" i="12"/>
  <c r="L61" i="12"/>
  <c r="K61" i="12"/>
  <c r="J61" i="12"/>
  <c r="M56" i="12"/>
  <c r="L56" i="12"/>
  <c r="K56" i="12"/>
  <c r="J56" i="12"/>
  <c r="M44" i="12"/>
  <c r="L44" i="12"/>
  <c r="K44" i="12"/>
  <c r="J44" i="12"/>
  <c r="M31" i="12"/>
  <c r="L31" i="12"/>
  <c r="K31" i="12"/>
  <c r="J31" i="12"/>
  <c r="M16" i="12"/>
  <c r="L16" i="12"/>
  <c r="K16" i="12"/>
  <c r="J16" i="12"/>
  <c r="L14" i="11"/>
  <c r="L57" i="11"/>
  <c r="L53" i="11"/>
  <c r="L54" i="11"/>
  <c r="L55" i="11"/>
  <c r="L52" i="11"/>
  <c r="J50" i="11"/>
  <c r="J51" i="11"/>
  <c r="J56" i="11"/>
  <c r="L61" i="11"/>
  <c r="L60" i="11"/>
  <c r="L38" i="11"/>
  <c r="L39" i="11"/>
  <c r="L40" i="11"/>
  <c r="L37" i="11"/>
  <c r="J34" i="11"/>
  <c r="J35" i="11"/>
  <c r="J36" i="11"/>
  <c r="J33" i="11"/>
  <c r="L28" i="11"/>
  <c r="L29" i="11"/>
  <c r="L30" i="11"/>
  <c r="L27" i="11"/>
  <c r="J21" i="11"/>
  <c r="J22" i="11"/>
  <c r="J23" i="11"/>
  <c r="J24" i="11"/>
  <c r="J25" i="11"/>
  <c r="J26" i="11"/>
  <c r="J18" i="11"/>
  <c r="L13" i="11"/>
  <c r="L11" i="11"/>
  <c r="J9" i="11"/>
  <c r="M62" i="11"/>
  <c r="L62" i="11"/>
  <c r="K62" i="11"/>
  <c r="J62" i="11"/>
  <c r="M58" i="11"/>
  <c r="L58" i="11"/>
  <c r="K58" i="11"/>
  <c r="J58" i="11"/>
  <c r="M41" i="11"/>
  <c r="L41" i="11"/>
  <c r="K41" i="11"/>
  <c r="J41" i="11"/>
  <c r="M31" i="11"/>
  <c r="L31" i="11"/>
  <c r="K31" i="11"/>
  <c r="J31" i="11"/>
  <c r="M16" i="11"/>
  <c r="L16" i="11"/>
  <c r="K16" i="11"/>
  <c r="J16" i="11"/>
  <c r="L18" i="10"/>
  <c r="L19" i="10"/>
  <c r="L20" i="10"/>
  <c r="J10" i="10"/>
  <c r="J12" i="10"/>
  <c r="J13" i="10"/>
  <c r="J14" i="10"/>
  <c r="J15" i="10"/>
  <c r="J16" i="10"/>
  <c r="J9" i="10"/>
  <c r="L31" i="10"/>
  <c r="L32" i="10"/>
  <c r="L30" i="10"/>
  <c r="J24" i="10"/>
  <c r="J25" i="10"/>
  <c r="J26" i="10"/>
  <c r="J27" i="10"/>
  <c r="J28" i="10"/>
  <c r="J23" i="10"/>
  <c r="L39" i="10"/>
  <c r="L40" i="10"/>
  <c r="L41" i="10"/>
  <c r="J36" i="10"/>
  <c r="J37" i="10"/>
  <c r="J38" i="10"/>
  <c r="J35" i="10"/>
  <c r="J59" i="10"/>
  <c r="L55" i="10"/>
  <c r="L53" i="10"/>
  <c r="J52" i="10"/>
  <c r="J54" i="10"/>
  <c r="J56" i="10"/>
  <c r="J51" i="10"/>
  <c r="M61" i="10"/>
  <c r="L61" i="10"/>
  <c r="K61" i="10"/>
  <c r="J61" i="10"/>
  <c r="M57" i="10"/>
  <c r="L57" i="10"/>
  <c r="K57" i="10"/>
  <c r="J57" i="10"/>
  <c r="M42" i="10"/>
  <c r="L42" i="10"/>
  <c r="K42" i="10"/>
  <c r="J42" i="10"/>
  <c r="M33" i="10"/>
  <c r="L33" i="10"/>
  <c r="K33" i="10"/>
  <c r="J33" i="10"/>
  <c r="M21" i="10"/>
  <c r="L21" i="10"/>
  <c r="K21" i="10"/>
  <c r="J21" i="10"/>
  <c r="L64" i="9"/>
  <c r="L17" i="9"/>
  <c r="L18" i="9"/>
  <c r="L19" i="9"/>
  <c r="L20" i="9"/>
  <c r="L21" i="9"/>
  <c r="L22" i="9"/>
  <c r="L23" i="9"/>
  <c r="J10" i="9"/>
  <c r="J11" i="9"/>
  <c r="J12" i="9"/>
  <c r="J14" i="9"/>
  <c r="J15" i="9"/>
  <c r="J9" i="9"/>
  <c r="L35" i="9"/>
  <c r="L36" i="9"/>
  <c r="L37" i="9"/>
  <c r="L34" i="9"/>
  <c r="J27" i="9"/>
  <c r="J28" i="9"/>
  <c r="J29" i="9"/>
  <c r="J30" i="9"/>
  <c r="J31" i="9"/>
  <c r="J32" i="9"/>
  <c r="J33" i="9"/>
  <c r="J26" i="9"/>
  <c r="L45" i="9"/>
  <c r="L44" i="9"/>
  <c r="J43" i="9"/>
  <c r="J41" i="9"/>
  <c r="J42" i="9"/>
  <c r="J40" i="9"/>
  <c r="L61" i="9"/>
  <c r="L59" i="9"/>
  <c r="J56" i="9"/>
  <c r="J57" i="9"/>
  <c r="J58" i="9"/>
  <c r="J55" i="9"/>
  <c r="M66" i="9"/>
  <c r="L66" i="9"/>
  <c r="K66" i="9"/>
  <c r="J66" i="9"/>
  <c r="M62" i="9"/>
  <c r="K62" i="9"/>
  <c r="J62" i="9"/>
  <c r="M46" i="9"/>
  <c r="L46" i="9"/>
  <c r="K46" i="9"/>
  <c r="J46" i="9"/>
  <c r="M38" i="9"/>
  <c r="L38" i="9"/>
  <c r="K38" i="9"/>
  <c r="M24" i="9"/>
  <c r="L24" i="9"/>
  <c r="K24" i="9"/>
  <c r="J24" i="9"/>
  <c r="L16" i="8"/>
  <c r="L17" i="8"/>
  <c r="J10" i="8"/>
  <c r="J12" i="8"/>
  <c r="J13" i="8"/>
  <c r="J14" i="8"/>
  <c r="J9" i="8"/>
  <c r="L25" i="8"/>
  <c r="L26" i="8"/>
  <c r="L27" i="8"/>
  <c r="L28" i="8"/>
  <c r="L29" i="8"/>
  <c r="L24" i="8"/>
  <c r="J21" i="8"/>
  <c r="J22" i="8"/>
  <c r="J23" i="8"/>
  <c r="J20" i="8"/>
  <c r="L36" i="8"/>
  <c r="L37" i="8"/>
  <c r="L38" i="8"/>
  <c r="L35" i="8"/>
  <c r="J33" i="8"/>
  <c r="J34" i="8"/>
  <c r="J32" i="8"/>
  <c r="L51" i="8"/>
  <c r="J49" i="8"/>
  <c r="J50" i="8"/>
  <c r="J52" i="8"/>
  <c r="J48" i="8"/>
  <c r="L60" i="8"/>
  <c r="J59" i="8"/>
  <c r="J58" i="8"/>
  <c r="J57" i="8"/>
  <c r="L56" i="8"/>
  <c r="J55" i="8"/>
  <c r="M61" i="8"/>
  <c r="L61" i="8"/>
  <c r="K61" i="8"/>
  <c r="J61" i="8"/>
  <c r="M53" i="8"/>
  <c r="L53" i="8"/>
  <c r="K53" i="8"/>
  <c r="J53" i="8"/>
  <c r="M39" i="8"/>
  <c r="L39" i="8"/>
  <c r="K39" i="8"/>
  <c r="J39" i="8"/>
  <c r="M30" i="8"/>
  <c r="K30" i="8"/>
  <c r="J30" i="8"/>
  <c r="M18" i="8"/>
  <c r="L18" i="8"/>
  <c r="K18" i="8"/>
  <c r="J18" i="8"/>
  <c r="L14" i="7"/>
  <c r="L15" i="7"/>
  <c r="L13" i="7"/>
  <c r="L58" i="7"/>
  <c r="L17" i="7"/>
  <c r="L18" i="7"/>
  <c r="L16" i="7"/>
  <c r="J10" i="7"/>
  <c r="J11" i="7"/>
  <c r="J12" i="7"/>
  <c r="J9" i="7"/>
  <c r="L28" i="7"/>
  <c r="L30" i="7"/>
  <c r="L31" i="7"/>
  <c r="L27" i="7"/>
  <c r="J21" i="7"/>
  <c r="J22" i="7"/>
  <c r="J23" i="7"/>
  <c r="J24" i="7"/>
  <c r="J25" i="7"/>
  <c r="L44" i="7"/>
  <c r="L45" i="7"/>
  <c r="L43" i="7"/>
  <c r="J35" i="7"/>
  <c r="J36" i="7"/>
  <c r="J37" i="7"/>
  <c r="J38" i="7"/>
  <c r="J40" i="7"/>
  <c r="J41" i="7"/>
  <c r="J42" i="7"/>
  <c r="J34" i="7"/>
  <c r="J62" i="7"/>
  <c r="J57" i="7"/>
  <c r="J56" i="7"/>
  <c r="M64" i="7"/>
  <c r="L64" i="7"/>
  <c r="K64" i="7"/>
  <c r="M60" i="7"/>
  <c r="L60" i="7"/>
  <c r="K60" i="7"/>
  <c r="J60" i="7"/>
  <c r="M47" i="7"/>
  <c r="L47" i="7"/>
  <c r="K47" i="7"/>
  <c r="J47" i="7"/>
  <c r="M32" i="7"/>
  <c r="L32" i="7"/>
  <c r="K32" i="7"/>
  <c r="J32" i="7"/>
  <c r="M19" i="7"/>
  <c r="L19" i="7"/>
  <c r="K19" i="7"/>
  <c r="J19" i="7"/>
  <c r="L16" i="6"/>
  <c r="J68" i="6"/>
  <c r="J67" i="6"/>
  <c r="J66" i="6"/>
  <c r="L15" i="6"/>
  <c r="J9" i="6"/>
  <c r="J10" i="6"/>
  <c r="J11" i="6"/>
  <c r="J12" i="6"/>
  <c r="J13" i="6"/>
  <c r="L32" i="6"/>
  <c r="L33" i="6"/>
  <c r="L34" i="6"/>
  <c r="L35" i="6"/>
  <c r="L36" i="6"/>
  <c r="L37" i="6"/>
  <c r="L38" i="6"/>
  <c r="J20" i="6"/>
  <c r="J21" i="6"/>
  <c r="J22" i="6"/>
  <c r="J23" i="6"/>
  <c r="J24" i="6"/>
  <c r="J25" i="6"/>
  <c r="J26" i="6"/>
  <c r="J27" i="6"/>
  <c r="J28" i="6"/>
  <c r="J30" i="6"/>
  <c r="J31" i="6"/>
  <c r="J19" i="6"/>
  <c r="L50" i="6"/>
  <c r="L51" i="6"/>
  <c r="J43" i="6"/>
  <c r="J45" i="6"/>
  <c r="J46" i="6"/>
  <c r="J47" i="6"/>
  <c r="J48" i="6"/>
  <c r="J49" i="6"/>
  <c r="J41" i="6"/>
  <c r="J62" i="6"/>
  <c r="J63" i="6"/>
  <c r="J64" i="6"/>
  <c r="J65" i="6"/>
  <c r="J61" i="6"/>
  <c r="L74" i="6"/>
  <c r="L73" i="6"/>
  <c r="J72" i="6"/>
  <c r="J71" i="6"/>
  <c r="M75" i="6"/>
  <c r="L75" i="6"/>
  <c r="K75" i="6"/>
  <c r="J75" i="6"/>
  <c r="M69" i="6"/>
  <c r="L69" i="6"/>
  <c r="K69" i="6"/>
  <c r="J69" i="6"/>
  <c r="M52" i="6"/>
  <c r="L52" i="6"/>
  <c r="K52" i="6"/>
  <c r="M39" i="6"/>
  <c r="L39" i="6"/>
  <c r="K39" i="6"/>
  <c r="J39" i="6"/>
  <c r="M17" i="6"/>
  <c r="L17" i="6"/>
  <c r="K17" i="6"/>
  <c r="J17" i="6"/>
  <c r="L16" i="5"/>
  <c r="L77" i="5"/>
  <c r="J76" i="5"/>
  <c r="J75" i="5"/>
  <c r="L12" i="5"/>
  <c r="L13" i="5"/>
  <c r="L14" i="5"/>
  <c r="L15" i="5"/>
  <c r="L11" i="5"/>
  <c r="J9" i="5"/>
  <c r="J10" i="5"/>
  <c r="L35" i="5"/>
  <c r="L36" i="5"/>
  <c r="L37" i="5"/>
  <c r="L38" i="5"/>
  <c r="L39" i="5"/>
  <c r="L40" i="5"/>
  <c r="L34" i="5"/>
  <c r="J21" i="5"/>
  <c r="J22" i="5"/>
  <c r="J25" i="5"/>
  <c r="J26" i="5"/>
  <c r="J28" i="5"/>
  <c r="J29" i="5"/>
  <c r="J30" i="5"/>
  <c r="J31" i="5"/>
  <c r="J32" i="5"/>
  <c r="J33" i="5"/>
  <c r="J20" i="5"/>
  <c r="L52" i="5"/>
  <c r="L53" i="5"/>
  <c r="L54" i="5"/>
  <c r="L55" i="5"/>
  <c r="L51" i="5"/>
  <c r="J44" i="5"/>
  <c r="J48" i="5"/>
  <c r="J49" i="5"/>
  <c r="J50" i="5"/>
  <c r="J43" i="5"/>
  <c r="J68" i="5"/>
  <c r="J66" i="5"/>
  <c r="J65" i="5"/>
  <c r="L67" i="5"/>
  <c r="L69" i="5"/>
  <c r="L73" i="5"/>
  <c r="M78" i="5"/>
  <c r="L78" i="5"/>
  <c r="K78" i="5"/>
  <c r="M71" i="5"/>
  <c r="L71" i="5"/>
  <c r="K71" i="5"/>
  <c r="J71" i="5"/>
  <c r="M56" i="5"/>
  <c r="K56" i="5"/>
  <c r="J56" i="5"/>
  <c r="M41" i="5"/>
  <c r="L41" i="5"/>
  <c r="K41" i="5"/>
  <c r="M18" i="5"/>
  <c r="K18" i="5"/>
  <c r="L17" i="4"/>
  <c r="L20" i="4"/>
  <c r="L16" i="4"/>
  <c r="J10" i="4"/>
  <c r="J11" i="4"/>
  <c r="J12" i="4"/>
  <c r="J13" i="4"/>
  <c r="J14" i="4"/>
  <c r="J15" i="4"/>
  <c r="J9" i="4"/>
  <c r="L31" i="4"/>
  <c r="J24" i="4"/>
  <c r="J30" i="4"/>
  <c r="J23" i="4"/>
  <c r="L43" i="4"/>
  <c r="L44" i="4"/>
  <c r="L45" i="4"/>
  <c r="L46" i="4"/>
  <c r="L47" i="4"/>
  <c r="L42" i="4"/>
  <c r="J35" i="4"/>
  <c r="J36" i="4"/>
  <c r="J37" i="4"/>
  <c r="J38" i="4"/>
  <c r="J39" i="4"/>
  <c r="J40" i="4"/>
  <c r="J41" i="4"/>
  <c r="J34" i="4"/>
  <c r="L61" i="4"/>
  <c r="J60" i="4"/>
  <c r="L59" i="4"/>
  <c r="J58" i="4"/>
  <c r="J57" i="4"/>
  <c r="J64" i="4"/>
  <c r="M66" i="4"/>
  <c r="L66" i="4"/>
  <c r="K66" i="4"/>
  <c r="J66" i="4"/>
  <c r="M62" i="4"/>
  <c r="K62" i="4"/>
  <c r="J62" i="4"/>
  <c r="M48" i="4"/>
  <c r="L48" i="4"/>
  <c r="K48" i="4"/>
  <c r="J48" i="4"/>
  <c r="M32" i="4"/>
  <c r="L32" i="4"/>
  <c r="K32" i="4"/>
  <c r="M21" i="4"/>
  <c r="L21" i="4"/>
  <c r="K21" i="4"/>
  <c r="J21" i="4"/>
  <c r="L59" i="2"/>
  <c r="J58" i="2"/>
  <c r="J57" i="2"/>
  <c r="J56" i="2"/>
  <c r="L55" i="2"/>
  <c r="L18" i="2"/>
  <c r="L19" i="2"/>
  <c r="J12" i="2"/>
  <c r="J14" i="2"/>
  <c r="J16" i="2"/>
  <c r="J17" i="2"/>
  <c r="L31" i="2"/>
  <c r="L32" i="2"/>
  <c r="L33" i="2"/>
  <c r="L30" i="2"/>
  <c r="J23" i="2"/>
  <c r="J24" i="2"/>
  <c r="J25" i="2"/>
  <c r="J26" i="2"/>
  <c r="J27" i="2"/>
  <c r="J28" i="2"/>
  <c r="J22" i="2"/>
  <c r="L41" i="2"/>
  <c r="L39" i="2"/>
  <c r="J37" i="2"/>
  <c r="J38" i="2"/>
  <c r="J36" i="2"/>
  <c r="L54" i="2"/>
  <c r="J52" i="2"/>
  <c r="J53" i="2"/>
  <c r="J51" i="2"/>
  <c r="J63" i="2"/>
  <c r="J62" i="2"/>
  <c r="M64" i="2"/>
  <c r="L64" i="2"/>
  <c r="K64" i="2"/>
  <c r="J64" i="2"/>
  <c r="M60" i="2"/>
  <c r="L60" i="2"/>
  <c r="K60" i="2"/>
  <c r="J60" i="2"/>
  <c r="M42" i="2"/>
  <c r="L42" i="2"/>
  <c r="K42" i="2"/>
  <c r="J42" i="2"/>
  <c r="M34" i="2"/>
  <c r="L34" i="2"/>
  <c r="K34" i="2"/>
  <c r="J34" i="2"/>
  <c r="M20" i="2"/>
  <c r="L20" i="2"/>
  <c r="K20" i="2"/>
  <c r="J20" i="2"/>
  <c r="L18" i="1"/>
  <c r="L19" i="1"/>
  <c r="L17" i="1"/>
  <c r="J11" i="1"/>
  <c r="J12" i="1"/>
  <c r="J13" i="1"/>
  <c r="J15" i="1"/>
  <c r="J16" i="1"/>
  <c r="L30" i="1"/>
  <c r="L31" i="1"/>
  <c r="L32" i="1"/>
  <c r="L33" i="1"/>
  <c r="L29" i="1"/>
  <c r="J22" i="1"/>
  <c r="J24" i="1"/>
  <c r="J25" i="1"/>
  <c r="J26" i="1"/>
  <c r="J27" i="1"/>
  <c r="J28" i="1"/>
  <c r="L45" i="1"/>
  <c r="L46" i="1"/>
  <c r="L47" i="1"/>
  <c r="L48" i="1"/>
  <c r="L44" i="1"/>
  <c r="J37" i="1"/>
  <c r="J38" i="1"/>
  <c r="J39" i="1"/>
  <c r="J40" i="1"/>
  <c r="J41" i="1"/>
  <c r="J42" i="1"/>
  <c r="J43" i="1"/>
  <c r="J36" i="1"/>
  <c r="L60" i="1"/>
  <c r="L61" i="1"/>
  <c r="L59" i="1"/>
  <c r="J58" i="1"/>
  <c r="J63" i="1"/>
  <c r="L70" i="1"/>
  <c r="L69" i="1"/>
  <c r="J67" i="1"/>
  <c r="J68" i="1"/>
  <c r="J66" i="1"/>
  <c r="M71" i="1"/>
  <c r="L71" i="1"/>
  <c r="K71" i="1"/>
  <c r="J71" i="1"/>
  <c r="M64" i="1"/>
  <c r="L64" i="1"/>
  <c r="K64" i="1"/>
  <c r="J64" i="1"/>
  <c r="M49" i="1"/>
  <c r="L49" i="1"/>
  <c r="K49" i="1"/>
  <c r="J49" i="1"/>
  <c r="M34" i="1"/>
  <c r="L34" i="1"/>
  <c r="K34" i="1"/>
  <c r="J34" i="1"/>
  <c r="M20" i="1"/>
  <c r="L20" i="1"/>
  <c r="K20" i="1"/>
  <c r="J20" i="1"/>
  <c r="M61" i="24" l="1"/>
  <c r="L61" i="24"/>
  <c r="K61" i="24"/>
  <c r="J61" i="24"/>
  <c r="O52" i="24"/>
  <c r="L43" i="24"/>
  <c r="O40" i="24"/>
  <c r="O59" i="24"/>
  <c r="M43" i="24"/>
  <c r="K43" i="24"/>
  <c r="J43" i="24"/>
  <c r="O32" i="24"/>
  <c r="O16" i="24"/>
  <c r="M45" i="23"/>
  <c r="J45" i="23"/>
  <c r="O35" i="23"/>
  <c r="O24" i="23"/>
  <c r="L65" i="23"/>
  <c r="K65" i="23"/>
  <c r="O63" i="23"/>
  <c r="L45" i="23"/>
  <c r="O42" i="23"/>
  <c r="M65" i="23"/>
  <c r="M69" i="23" s="1"/>
  <c r="J65" i="23"/>
  <c r="O60" i="23"/>
  <c r="K45" i="23"/>
  <c r="J20" i="22"/>
  <c r="J70" i="22"/>
  <c r="L46" i="22"/>
  <c r="L49" i="22" s="1"/>
  <c r="L35" i="22"/>
  <c r="J35" i="22"/>
  <c r="L20" i="22"/>
  <c r="O62" i="22"/>
  <c r="M49" i="22"/>
  <c r="K49" i="22"/>
  <c r="M70" i="22"/>
  <c r="M74" i="22" s="1"/>
  <c r="L70" i="22"/>
  <c r="K70" i="22"/>
  <c r="O68" i="22"/>
  <c r="L66" i="20"/>
  <c r="J66" i="20"/>
  <c r="O64" i="20"/>
  <c r="L49" i="20"/>
  <c r="J49" i="20"/>
  <c r="O46" i="20"/>
  <c r="M66" i="20"/>
  <c r="K66" i="20"/>
  <c r="O60" i="20"/>
  <c r="M49" i="20"/>
  <c r="K49" i="20"/>
  <c r="O35" i="20"/>
  <c r="O19" i="20"/>
  <c r="M63" i="19"/>
  <c r="K63" i="19"/>
  <c r="O61" i="19"/>
  <c r="M43" i="19"/>
  <c r="O28" i="19"/>
  <c r="L43" i="19"/>
  <c r="J43" i="19"/>
  <c r="O17" i="19"/>
  <c r="L63" i="19"/>
  <c r="J63" i="19"/>
  <c r="O57" i="19"/>
  <c r="K43" i="19"/>
  <c r="O40" i="19"/>
  <c r="M74" i="18"/>
  <c r="L74" i="18"/>
  <c r="K74" i="18"/>
  <c r="J74" i="18"/>
  <c r="O74" i="18" s="1"/>
  <c r="O68" i="18"/>
  <c r="L53" i="18"/>
  <c r="K53" i="18"/>
  <c r="O50" i="18"/>
  <c r="O23" i="18"/>
  <c r="O72" i="18"/>
  <c r="M53" i="18"/>
  <c r="J53" i="18"/>
  <c r="O37" i="18"/>
  <c r="O68" i="17"/>
  <c r="M51" i="17"/>
  <c r="K51" i="17"/>
  <c r="O35" i="17"/>
  <c r="L76" i="17"/>
  <c r="J76" i="17"/>
  <c r="L51" i="17"/>
  <c r="O48" i="17"/>
  <c r="M76" i="17"/>
  <c r="M80" i="17" s="1"/>
  <c r="K76" i="17"/>
  <c r="K80" i="17" s="1"/>
  <c r="O74" i="17"/>
  <c r="J51" i="17"/>
  <c r="O16" i="17"/>
  <c r="L33" i="16"/>
  <c r="L45" i="16"/>
  <c r="L70" i="16"/>
  <c r="J70" i="16"/>
  <c r="J48" i="16"/>
  <c r="O33" i="16"/>
  <c r="M70" i="16"/>
  <c r="K70" i="16"/>
  <c r="O68" i="16"/>
  <c r="O64" i="16"/>
  <c r="K48" i="16"/>
  <c r="M48" i="16"/>
  <c r="O22" i="16"/>
  <c r="L57" i="15"/>
  <c r="O55" i="15"/>
  <c r="O51" i="15"/>
  <c r="M38" i="15"/>
  <c r="K38" i="15"/>
  <c r="M57" i="15"/>
  <c r="K57" i="15"/>
  <c r="K61" i="15" s="1"/>
  <c r="J57" i="15"/>
  <c r="O57" i="15" s="1"/>
  <c r="L38" i="15"/>
  <c r="O35" i="15"/>
  <c r="J38" i="15"/>
  <c r="O28" i="15"/>
  <c r="O15" i="15"/>
  <c r="L78" i="14"/>
  <c r="O26" i="14"/>
  <c r="M61" i="14"/>
  <c r="K61" i="14"/>
  <c r="O58" i="14"/>
  <c r="M87" i="14"/>
  <c r="M91" i="14" s="1"/>
  <c r="K87" i="14"/>
  <c r="K91" i="14" s="1"/>
  <c r="J87" i="14"/>
  <c r="O85" i="14"/>
  <c r="L61" i="14"/>
  <c r="J61" i="14"/>
  <c r="O39" i="14"/>
  <c r="L69" i="13"/>
  <c r="K69" i="13"/>
  <c r="J69" i="13"/>
  <c r="O61" i="13"/>
  <c r="J49" i="13"/>
  <c r="M49" i="13"/>
  <c r="K49" i="13"/>
  <c r="O46" i="13"/>
  <c r="O30" i="13"/>
  <c r="O16" i="13"/>
  <c r="M69" i="13"/>
  <c r="M73" i="13" s="1"/>
  <c r="O67" i="13"/>
  <c r="L49" i="13"/>
  <c r="M47" i="12"/>
  <c r="J47" i="12"/>
  <c r="O16" i="12"/>
  <c r="M63" i="12"/>
  <c r="M67" i="12" s="1"/>
  <c r="K63" i="12"/>
  <c r="O61" i="12"/>
  <c r="K47" i="12"/>
  <c r="O44" i="12"/>
  <c r="L63" i="12"/>
  <c r="J63" i="12"/>
  <c r="O63" i="12" s="1"/>
  <c r="O56" i="12"/>
  <c r="L47" i="12"/>
  <c r="O31" i="12"/>
  <c r="L64" i="11"/>
  <c r="J64" i="11"/>
  <c r="K44" i="11"/>
  <c r="O41" i="11"/>
  <c r="L44" i="11"/>
  <c r="M64" i="11"/>
  <c r="K64" i="11"/>
  <c r="K68" i="11" s="1"/>
  <c r="O62" i="11"/>
  <c r="O58" i="11"/>
  <c r="M44" i="11"/>
  <c r="J44" i="11"/>
  <c r="O31" i="11"/>
  <c r="O16" i="11"/>
  <c r="K45" i="10"/>
  <c r="O42" i="10"/>
  <c r="O33" i="10"/>
  <c r="M63" i="10"/>
  <c r="L63" i="10"/>
  <c r="K63" i="10"/>
  <c r="K67" i="10" s="1"/>
  <c r="J63" i="10"/>
  <c r="O61" i="10"/>
  <c r="O57" i="10"/>
  <c r="M45" i="10"/>
  <c r="L45" i="10"/>
  <c r="J45" i="10"/>
  <c r="O21" i="10"/>
  <c r="J38" i="9"/>
  <c r="L62" i="9"/>
  <c r="M68" i="9"/>
  <c r="K68" i="9"/>
  <c r="K49" i="9"/>
  <c r="L49" i="9"/>
  <c r="O46" i="9"/>
  <c r="O24" i="9"/>
  <c r="J68" i="9"/>
  <c r="O66" i="9"/>
  <c r="M49" i="9"/>
  <c r="L30" i="8"/>
  <c r="K42" i="8"/>
  <c r="J42" i="8"/>
  <c r="O18" i="8"/>
  <c r="L63" i="8"/>
  <c r="K63" i="8"/>
  <c r="K67" i="8" s="1"/>
  <c r="O61" i="8"/>
  <c r="O53" i="8"/>
  <c r="M63" i="8"/>
  <c r="J63" i="8"/>
  <c r="O63" i="8" s="1"/>
  <c r="M42" i="8"/>
  <c r="O39" i="8"/>
  <c r="J64" i="7"/>
  <c r="K66" i="7"/>
  <c r="J66" i="7"/>
  <c r="K50" i="7"/>
  <c r="O47" i="7"/>
  <c r="O32" i="7"/>
  <c r="M66" i="7"/>
  <c r="L66" i="7"/>
  <c r="O64" i="7"/>
  <c r="M50" i="7"/>
  <c r="O60" i="7"/>
  <c r="L50" i="7"/>
  <c r="J50" i="7"/>
  <c r="O19" i="7"/>
  <c r="J52" i="6"/>
  <c r="L77" i="6"/>
  <c r="J77" i="6"/>
  <c r="O69" i="6"/>
  <c r="M55" i="6"/>
  <c r="K55" i="6"/>
  <c r="O39" i="6"/>
  <c r="M77" i="6"/>
  <c r="M81" i="6" s="1"/>
  <c r="K77" i="6"/>
  <c r="O75" i="6"/>
  <c r="L55" i="6"/>
  <c r="O17" i="6"/>
  <c r="J18" i="5"/>
  <c r="L18" i="5"/>
  <c r="J41" i="5"/>
  <c r="L56" i="5"/>
  <c r="J78" i="5"/>
  <c r="O71" i="5"/>
  <c r="M59" i="5"/>
  <c r="K59" i="5"/>
  <c r="J59" i="5"/>
  <c r="O18" i="5"/>
  <c r="M80" i="5"/>
  <c r="M84" i="5" s="1"/>
  <c r="L80" i="5"/>
  <c r="K80" i="5"/>
  <c r="K84" i="5" s="1"/>
  <c r="N87" i="5" s="1"/>
  <c r="L59" i="5"/>
  <c r="O56" i="5"/>
  <c r="O41" i="5"/>
  <c r="J32" i="4"/>
  <c r="L62" i="4"/>
  <c r="M68" i="4"/>
  <c r="O66" i="4"/>
  <c r="K51" i="4"/>
  <c r="O48" i="4"/>
  <c r="K68" i="4"/>
  <c r="J68" i="4"/>
  <c r="L51" i="4"/>
  <c r="O21" i="4"/>
  <c r="M51" i="4"/>
  <c r="M66" i="2"/>
  <c r="K66" i="2"/>
  <c r="O64" i="2"/>
  <c r="L66" i="2"/>
  <c r="J66" i="2"/>
  <c r="L45" i="2"/>
  <c r="J45" i="2"/>
  <c r="O34" i="2"/>
  <c r="O20" i="2"/>
  <c r="O60" i="2"/>
  <c r="M45" i="2"/>
  <c r="K45" i="2"/>
  <c r="O42" i="2"/>
  <c r="O64" i="1"/>
  <c r="L52" i="1"/>
  <c r="J52" i="1"/>
  <c r="O34" i="1"/>
  <c r="O20" i="1"/>
  <c r="M73" i="1"/>
  <c r="L73" i="1"/>
  <c r="L77" i="1" s="1"/>
  <c r="K73" i="1"/>
  <c r="J73" i="1"/>
  <c r="O71" i="1"/>
  <c r="M52" i="1"/>
  <c r="K52" i="1"/>
  <c r="O49" i="1"/>
  <c r="O61" i="24" l="1"/>
  <c r="J65" i="24"/>
  <c r="O43" i="24"/>
  <c r="M65" i="24"/>
  <c r="K65" i="24"/>
  <c r="L65" i="24"/>
  <c r="O65" i="23"/>
  <c r="J69" i="23"/>
  <c r="O45" i="23"/>
  <c r="L69" i="23"/>
  <c r="K69" i="23"/>
  <c r="N72" i="23" s="1"/>
  <c r="J49" i="22"/>
  <c r="J74" i="22" s="1"/>
  <c r="L74" i="22"/>
  <c r="K74" i="22"/>
  <c r="N77" i="22" s="1"/>
  <c r="O70" i="22"/>
  <c r="O46" i="22"/>
  <c r="O35" i="22"/>
  <c r="O20" i="22"/>
  <c r="O49" i="20"/>
  <c r="J70" i="20"/>
  <c r="L70" i="20"/>
  <c r="O66" i="20"/>
  <c r="M70" i="20"/>
  <c r="K70" i="20"/>
  <c r="O63" i="19"/>
  <c r="L67" i="19"/>
  <c r="J67" i="19"/>
  <c r="O43" i="19"/>
  <c r="M67" i="19"/>
  <c r="K67" i="19"/>
  <c r="O53" i="18"/>
  <c r="J78" i="18"/>
  <c r="M78" i="18"/>
  <c r="K78" i="18"/>
  <c r="N81" i="18" s="1"/>
  <c r="L78" i="18"/>
  <c r="N83" i="17"/>
  <c r="O51" i="17"/>
  <c r="J80" i="17"/>
  <c r="L80" i="17"/>
  <c r="O76" i="17"/>
  <c r="L48" i="16"/>
  <c r="O45" i="16"/>
  <c r="O48" i="16"/>
  <c r="J74" i="16"/>
  <c r="O70" i="16"/>
  <c r="M74" i="16"/>
  <c r="K74" i="16"/>
  <c r="L74" i="16"/>
  <c r="J61" i="15"/>
  <c r="O38" i="15"/>
  <c r="L61" i="15"/>
  <c r="M61" i="15"/>
  <c r="N64" i="15" s="1"/>
  <c r="N94" i="14"/>
  <c r="L87" i="14"/>
  <c r="O78" i="14"/>
  <c r="O61" i="14"/>
  <c r="J91" i="14"/>
  <c r="O49" i="13"/>
  <c r="J73" i="13"/>
  <c r="L73" i="13"/>
  <c r="O69" i="13"/>
  <c r="K73" i="13"/>
  <c r="N76" i="13" s="1"/>
  <c r="K67" i="12"/>
  <c r="N70" i="12" s="1"/>
  <c r="O47" i="12"/>
  <c r="J67" i="12"/>
  <c r="L67" i="12"/>
  <c r="J68" i="11"/>
  <c r="O44" i="11"/>
  <c r="L68" i="11"/>
  <c r="O64" i="11"/>
  <c r="M68" i="11"/>
  <c r="N71" i="11" s="1"/>
  <c r="O63" i="10"/>
  <c r="O45" i="10"/>
  <c r="J67" i="10"/>
  <c r="M67" i="10"/>
  <c r="N70" i="10" s="1"/>
  <c r="L67" i="10"/>
  <c r="O38" i="9"/>
  <c r="J49" i="9"/>
  <c r="O62" i="9"/>
  <c r="L68" i="9"/>
  <c r="M72" i="9"/>
  <c r="K72" i="9"/>
  <c r="L42" i="8"/>
  <c r="O30" i="8"/>
  <c r="J67" i="8"/>
  <c r="M67" i="8"/>
  <c r="N70" i="8" s="1"/>
  <c r="J70" i="7"/>
  <c r="O50" i="7"/>
  <c r="K70" i="7"/>
  <c r="M70" i="7"/>
  <c r="O66" i="7"/>
  <c r="L70" i="7"/>
  <c r="J55" i="6"/>
  <c r="O52" i="6"/>
  <c r="K81" i="6"/>
  <c r="N84" i="6" s="1"/>
  <c r="O55" i="6"/>
  <c r="J81" i="6"/>
  <c r="L81" i="6"/>
  <c r="O77" i="6"/>
  <c r="O78" i="5"/>
  <c r="J80" i="5"/>
  <c r="J84" i="5"/>
  <c r="O59" i="5"/>
  <c r="L84" i="5"/>
  <c r="J51" i="4"/>
  <c r="O32" i="4"/>
  <c r="L68" i="4"/>
  <c r="O68" i="4" s="1"/>
  <c r="O62" i="4"/>
  <c r="K72" i="4"/>
  <c r="J72" i="4"/>
  <c r="O51" i="4"/>
  <c r="L72" i="4"/>
  <c r="M72" i="4"/>
  <c r="O66" i="2"/>
  <c r="O45" i="2"/>
  <c r="J70" i="2"/>
  <c r="M70" i="2"/>
  <c r="K70" i="2"/>
  <c r="N73" i="2" s="1"/>
  <c r="L70" i="2"/>
  <c r="O73" i="1"/>
  <c r="O52" i="1"/>
  <c r="J77" i="1"/>
  <c r="N79" i="1" s="1"/>
  <c r="M77" i="1"/>
  <c r="K77" i="1"/>
  <c r="N80" i="1" s="1"/>
  <c r="N68" i="24" l="1"/>
  <c r="N67" i="24"/>
  <c r="N71" i="23"/>
  <c r="O71" i="23" s="1"/>
  <c r="O49" i="22"/>
  <c r="N73" i="20"/>
  <c r="N72" i="20"/>
  <c r="N69" i="19"/>
  <c r="N70" i="19"/>
  <c r="N80" i="18"/>
  <c r="O80" i="18" s="1"/>
  <c r="N82" i="17"/>
  <c r="O82" i="17" s="1"/>
  <c r="N77" i="16"/>
  <c r="N76" i="16"/>
  <c r="N63" i="15"/>
  <c r="O63" i="15" s="1"/>
  <c r="O87" i="14"/>
  <c r="L91" i="14"/>
  <c r="N75" i="13"/>
  <c r="O75" i="13" s="1"/>
  <c r="N69" i="12"/>
  <c r="O69" i="12" s="1"/>
  <c r="N70" i="11"/>
  <c r="O70" i="11" s="1"/>
  <c r="N69" i="10"/>
  <c r="O69" i="10" s="1"/>
  <c r="O49" i="9"/>
  <c r="J72" i="9"/>
  <c r="O68" i="9"/>
  <c r="L72" i="9"/>
  <c r="N75" i="9"/>
  <c r="O42" i="8"/>
  <c r="L67" i="8"/>
  <c r="N72" i="7"/>
  <c r="N73" i="7"/>
  <c r="N83" i="6"/>
  <c r="O83" i="6" s="1"/>
  <c r="O80" i="5"/>
  <c r="N86" i="5"/>
  <c r="O86" i="5" s="1"/>
  <c r="N75" i="4"/>
  <c r="N74" i="4"/>
  <c r="O74" i="4" s="1"/>
  <c r="N72" i="2"/>
  <c r="O72" i="2" s="1"/>
  <c r="O79" i="1"/>
  <c r="O67" i="24" l="1"/>
  <c r="N76" i="22"/>
  <c r="O76" i="22" s="1"/>
  <c r="O72" i="20"/>
  <c r="O69" i="19"/>
  <c r="O76" i="16"/>
  <c r="N93" i="14"/>
  <c r="O93" i="14" s="1"/>
  <c r="N74" i="9"/>
  <c r="N69" i="8"/>
  <c r="O69" i="8" s="1"/>
  <c r="O72" i="7"/>
  <c r="O74" i="9" l="1"/>
</calcChain>
</file>

<file path=xl/sharedStrings.xml><?xml version="1.0" encoding="utf-8"?>
<sst xmlns="http://schemas.openxmlformats.org/spreadsheetml/2006/main" count="5435" uniqueCount="1647">
  <si>
    <t>LAPORAN UANG MASUK HARIAN</t>
  </si>
  <si>
    <t>MINYAK &amp; RUPA-RUPA</t>
  </si>
  <si>
    <t>PIUTANG TEMPO</t>
  </si>
  <si>
    <t xml:space="preserve"> </t>
  </si>
  <si>
    <t>NO</t>
  </si>
  <si>
    <t>SALES</t>
  </si>
  <si>
    <t>NO FAKTUR</t>
  </si>
  <si>
    <t>NAMA TOKO</t>
  </si>
  <si>
    <t>ALAMAT</t>
  </si>
  <si>
    <t>TGL FAKTUR</t>
  </si>
  <si>
    <t>JT</t>
  </si>
  <si>
    <t>TAGIHAN</t>
  </si>
  <si>
    <t>PEMBAYARAN</t>
  </si>
  <si>
    <t>TOTAL</t>
  </si>
  <si>
    <t>MINYAK</t>
  </si>
  <si>
    <t>RUPA-RUPA</t>
  </si>
  <si>
    <t>KET</t>
  </si>
  <si>
    <t>CASH</t>
  </si>
  <si>
    <t>TRANSFER</t>
  </si>
  <si>
    <t>RAJU</t>
  </si>
  <si>
    <t>JOSSY</t>
  </si>
  <si>
    <t>HAFID</t>
  </si>
  <si>
    <t>UANG MASUK DARI PIUTANG</t>
  </si>
  <si>
    <t>DROPPING/SALES</t>
  </si>
  <si>
    <t>NOMINAL FAKTUR</t>
  </si>
  <si>
    <t xml:space="preserve">TOTAL </t>
  </si>
  <si>
    <t>UANG MASUK CASH</t>
  </si>
  <si>
    <t>TOTAL UANG MASUK</t>
  </si>
  <si>
    <t>TOTAL CASH</t>
  </si>
  <si>
    <t>TOTAL TRANSFER</t>
  </si>
  <si>
    <t>MENGETAHUI</t>
  </si>
  <si>
    <t>ADMIN</t>
  </si>
  <si>
    <t>SUPERVISOR</t>
  </si>
  <si>
    <t>HEAD OFFICE</t>
  </si>
  <si>
    <t>OWNER</t>
  </si>
  <si>
    <t>(                         )</t>
  </si>
  <si>
    <t>(                        )</t>
  </si>
  <si>
    <t>(                          )</t>
  </si>
  <si>
    <t>SENIN 01/06/2026</t>
  </si>
  <si>
    <t>011003260400136</t>
  </si>
  <si>
    <t>TOKO ARNI</t>
  </si>
  <si>
    <t>PASAR TENGOK</t>
  </si>
  <si>
    <t>011003260500160</t>
  </si>
  <si>
    <t>TOKO WALUYO</t>
  </si>
  <si>
    <t>WIROMARTAN</t>
  </si>
  <si>
    <t>011003260500641</t>
  </si>
  <si>
    <t>TOKO LIBBY</t>
  </si>
  <si>
    <t>LEMBU PURWO</t>
  </si>
  <si>
    <t>011003260500642</t>
  </si>
  <si>
    <t>AGUS/MARYATUN</t>
  </si>
  <si>
    <t>011003260500643</t>
  </si>
  <si>
    <t>ANYAR SWALAYAN</t>
  </si>
  <si>
    <t>MIRIT</t>
  </si>
  <si>
    <t>011003260500644</t>
  </si>
  <si>
    <t>TOKO KOMARYATI</t>
  </si>
  <si>
    <t>TLOGO DEPOK</t>
  </si>
  <si>
    <t>011003260500645</t>
  </si>
  <si>
    <t>WL SWALAYAN</t>
  </si>
  <si>
    <t>011003260500646</t>
  </si>
  <si>
    <t>TOKO TUMIJAN</t>
  </si>
  <si>
    <t>SUMBERJATI</t>
  </si>
  <si>
    <t>021431</t>
  </si>
  <si>
    <t>011003260500647</t>
  </si>
  <si>
    <t>011003260500663</t>
  </si>
  <si>
    <t>TOKO MEGA</t>
  </si>
  <si>
    <t>BRECONG</t>
  </si>
  <si>
    <t>PASAR KEJAWANG</t>
  </si>
  <si>
    <t>011003260500168</t>
  </si>
  <si>
    <t>TOKO KARNI</t>
  </si>
  <si>
    <t>011003260500171</t>
  </si>
  <si>
    <t>TOKO KIRNO</t>
  </si>
  <si>
    <t>KARANGJAMBU</t>
  </si>
  <si>
    <t>011003260500210</t>
  </si>
  <si>
    <t>TOKO ZEEN</t>
  </si>
  <si>
    <t>TEMANGGAL</t>
  </si>
  <si>
    <t>KEJAWANG</t>
  </si>
  <si>
    <t>011003260500652</t>
  </si>
  <si>
    <t>TOKO UDIN</t>
  </si>
  <si>
    <t>011003260500653</t>
  </si>
  <si>
    <t>SAMUDRA SAYUR</t>
  </si>
  <si>
    <t>011003260500654</t>
  </si>
  <si>
    <t>TOKO KU</t>
  </si>
  <si>
    <t>011003260500662</t>
  </si>
  <si>
    <t>TOKO AN NAJAH</t>
  </si>
  <si>
    <t>011001260400236</t>
  </si>
  <si>
    <t>TOKO BU SITI</t>
  </si>
  <si>
    <t>LOGANDU</t>
  </si>
  <si>
    <t>011003260500177</t>
  </si>
  <si>
    <t>011003260500636</t>
  </si>
  <si>
    <t>TOKO BU SANTI</t>
  </si>
  <si>
    <t>PASAR KARANGANYAR</t>
  </si>
  <si>
    <t>011003260500660</t>
  </si>
  <si>
    <t>TOKO PAK MISOM</t>
  </si>
  <si>
    <t>KRENCENG</t>
  </si>
  <si>
    <t>011003260500661</t>
  </si>
  <si>
    <t>TOKO KIOS PKK</t>
  </si>
  <si>
    <t>011003260500589</t>
  </si>
  <si>
    <t>TOKO SAFANIYAH</t>
  </si>
  <si>
    <t>BUAYAN</t>
  </si>
  <si>
    <t>011003260500599</t>
  </si>
  <si>
    <t>TOKO KALAPACUNG</t>
  </si>
  <si>
    <t>PASAR JINTUNG</t>
  </si>
  <si>
    <t>011003260500600</t>
  </si>
  <si>
    <t>TOKO ANI</t>
  </si>
  <si>
    <t>JINTUNG</t>
  </si>
  <si>
    <t>011003260500665</t>
  </si>
  <si>
    <t>TOKO YULI</t>
  </si>
  <si>
    <t>PASAR GOLONGAN</t>
  </si>
  <si>
    <t>011003260500667</t>
  </si>
  <si>
    <t>TOKO SINAR</t>
  </si>
  <si>
    <t>DEMANGSARI</t>
  </si>
  <si>
    <t>011003260500668</t>
  </si>
  <si>
    <t>DEPO BELANJA</t>
  </si>
  <si>
    <t>011003260500669</t>
  </si>
  <si>
    <t>RAHMAT/AHMAD</t>
  </si>
  <si>
    <t>011003260500673</t>
  </si>
  <si>
    <t>MAJU BERSAMA</t>
  </si>
  <si>
    <t>AYAH</t>
  </si>
  <si>
    <t>011003260500605</t>
  </si>
  <si>
    <t>TOKO SINAR PASIR</t>
  </si>
  <si>
    <t>DESA PASIR</t>
  </si>
  <si>
    <t>011003260500606</t>
  </si>
  <si>
    <t>011003260500666</t>
  </si>
  <si>
    <t>011003260500670</t>
  </si>
  <si>
    <t>011003260500672</t>
  </si>
  <si>
    <t>TOKO OO</t>
  </si>
  <si>
    <t>011003260600005</t>
  </si>
  <si>
    <t>TOKO SUYITNO</t>
  </si>
  <si>
    <t>KOROWELANG</t>
  </si>
  <si>
    <t>011003260600008</t>
  </si>
  <si>
    <t>011003260600009</t>
  </si>
  <si>
    <t>TOKO SULIS</t>
  </si>
  <si>
    <t>PENCARIKAN</t>
  </si>
  <si>
    <t>011003260600045</t>
  </si>
  <si>
    <t>RS PERMATA MEDIKA</t>
  </si>
  <si>
    <t>KEBUMEN</t>
  </si>
  <si>
    <t>011003260600044</t>
  </si>
  <si>
    <t>TOKO SUDARSIH</t>
  </si>
  <si>
    <t>TANGGULANGIN</t>
  </si>
  <si>
    <t>011003260600037</t>
  </si>
  <si>
    <t>SEVEN ELEVEN</t>
  </si>
  <si>
    <t>CLAPAR</t>
  </si>
  <si>
    <t>011003260600013</t>
  </si>
  <si>
    <t>TOKO INDRI</t>
  </si>
  <si>
    <t>ADIWARNO</t>
  </si>
  <si>
    <t>011003260600016</t>
  </si>
  <si>
    <t>TOKO BU ANWAR</t>
  </si>
  <si>
    <t>KARANGBOLONG</t>
  </si>
  <si>
    <t>011003260600017</t>
  </si>
  <si>
    <t>BU MARSIO</t>
  </si>
  <si>
    <t>011003260600026</t>
  </si>
  <si>
    <t>TOKO RATNA</t>
  </si>
  <si>
    <t>PERTIGAAN PASAR</t>
  </si>
  <si>
    <t>011003260600029</t>
  </si>
  <si>
    <t>ZEIN(HAFID)</t>
  </si>
  <si>
    <t>LUNAS</t>
  </si>
  <si>
    <t>ANAM(RAJU)</t>
  </si>
  <si>
    <t>TF 1/6/26</t>
  </si>
  <si>
    <t>TITIP</t>
  </si>
  <si>
    <t>SELASA 02/06/2026</t>
  </si>
  <si>
    <t>011003260400138</t>
  </si>
  <si>
    <t>011003260500215</t>
  </si>
  <si>
    <t>TOKO KOSIDAH</t>
  </si>
  <si>
    <t>PASAR PONCOWARNO</t>
  </si>
  <si>
    <t>011003260500214</t>
  </si>
  <si>
    <t>TOKO TUTI</t>
  </si>
  <si>
    <t>011003260500222</t>
  </si>
  <si>
    <t>TOKO JATMIKO</t>
  </si>
  <si>
    <t>TANJUNGSARI</t>
  </si>
  <si>
    <t>011003260500390</t>
  </si>
  <si>
    <t>JADI BARU</t>
  </si>
  <si>
    <t>011003260500678</t>
  </si>
  <si>
    <t>TOKO RANTI</t>
  </si>
  <si>
    <t>011003260500679</t>
  </si>
  <si>
    <t>TOKO SARI USAHA</t>
  </si>
  <si>
    <t>PASAR PENCIL</t>
  </si>
  <si>
    <t>011003260500681</t>
  </si>
  <si>
    <t>TOKO IIS</t>
  </si>
  <si>
    <t>011003260500682</t>
  </si>
  <si>
    <t>TOKO KEJAYAN</t>
  </si>
  <si>
    <t>JL KEJAYAN</t>
  </si>
  <si>
    <t>011003260500683</t>
  </si>
  <si>
    <t>011003260500684</t>
  </si>
  <si>
    <t>011003260500166</t>
  </si>
  <si>
    <t>TOKO YASIN</t>
  </si>
  <si>
    <t>011003260500230</t>
  </si>
  <si>
    <t>TOKO BARU SWALAYAN</t>
  </si>
  <si>
    <t>PETANAHAN</t>
  </si>
  <si>
    <t>011003260500693</t>
  </si>
  <si>
    <t>ARKHA MART</t>
  </si>
  <si>
    <t>BLEKATUK</t>
  </si>
  <si>
    <t>011003260500695</t>
  </si>
  <si>
    <t>SRC BLEKHATUK</t>
  </si>
  <si>
    <t>011003260500696</t>
  </si>
  <si>
    <t>TOKO BU NINING</t>
  </si>
  <si>
    <t>CANDIWULAN</t>
  </si>
  <si>
    <t>011003260500699</t>
  </si>
  <si>
    <t>TOKO MEGALIA</t>
  </si>
  <si>
    <t>011003260500701</t>
  </si>
  <si>
    <t>TOKO BERKAH</t>
  </si>
  <si>
    <t>011003260500233</t>
  </si>
  <si>
    <t>011003260500694</t>
  </si>
  <si>
    <t>011003260500702</t>
  </si>
  <si>
    <t>011003260500704</t>
  </si>
  <si>
    <t>011003260500687</t>
  </si>
  <si>
    <t>TOKO SURYA MART</t>
  </si>
  <si>
    <t>KALITENGAH</t>
  </si>
  <si>
    <t>011003260500688</t>
  </si>
  <si>
    <t>JL SEMPOR LAMA</t>
  </si>
  <si>
    <t>011003260500690</t>
  </si>
  <si>
    <t>TOKO CHASANAH</t>
  </si>
  <si>
    <t>JL SEMPOR BARU</t>
  </si>
  <si>
    <t>011003260500692</t>
  </si>
  <si>
    <t>011003260500707</t>
  </si>
  <si>
    <t>MITRA SEHATI</t>
  </si>
  <si>
    <t>GOMBONG</t>
  </si>
  <si>
    <t>011003260500708</t>
  </si>
  <si>
    <t>TOKO BARJONO</t>
  </si>
  <si>
    <t>JATINEGARA</t>
  </si>
  <si>
    <t>011003260600077</t>
  </si>
  <si>
    <t>TOKO SAMINI</t>
  </si>
  <si>
    <t>PASAR GOLONGA</t>
  </si>
  <si>
    <t>011003260600080</t>
  </si>
  <si>
    <t>TOKO NINING</t>
  </si>
  <si>
    <t>011003260600081</t>
  </si>
  <si>
    <t>011003260600084</t>
  </si>
  <si>
    <t>011003260600086</t>
  </si>
  <si>
    <t>TOKO SAMIJO</t>
  </si>
  <si>
    <t>ROWOKWLW/GOLONGAN</t>
  </si>
  <si>
    <t>011003260600049</t>
  </si>
  <si>
    <t>TOKO SRC RAHMAT</t>
  </si>
  <si>
    <t>011003260600059</t>
  </si>
  <si>
    <t>TOKO MITRA SEJAHTERA</t>
  </si>
  <si>
    <t>MIRIT PETIKUSAN</t>
  </si>
  <si>
    <t>011003260600066</t>
  </si>
  <si>
    <t>BU TRISNO</t>
  </si>
  <si>
    <t>011003260600067</t>
  </si>
  <si>
    <t>TISZA MART</t>
  </si>
  <si>
    <t>011003260600069</t>
  </si>
  <si>
    <t>TOKO ARFA KEMBAR</t>
  </si>
  <si>
    <t>SIDOAGUNG</t>
  </si>
  <si>
    <t>011003260600073</t>
  </si>
  <si>
    <t>LUNAS(TF 29/5/26)</t>
  </si>
  <si>
    <t>ZEIN(JOSSY)</t>
  </si>
  <si>
    <t>LUNAS ( ADA RETUR 5,750)</t>
  </si>
  <si>
    <t>RABU 03/06/2026</t>
  </si>
  <si>
    <t>WARUNG PRING</t>
  </si>
  <si>
    <t>011003260500712</t>
  </si>
  <si>
    <t>FAKIH</t>
  </si>
  <si>
    <t>RANTEWIRINGIN</t>
  </si>
  <si>
    <t>PASAR BOCOR</t>
  </si>
  <si>
    <t>011003260500717</t>
  </si>
  <si>
    <t>TOKO IBU RUM</t>
  </si>
  <si>
    <t>011003260500718</t>
  </si>
  <si>
    <t>TOKO IBU ATUN</t>
  </si>
  <si>
    <t>011003260500723</t>
  </si>
  <si>
    <t>TOKO IRMA</t>
  </si>
  <si>
    <t>011003260500617</t>
  </si>
  <si>
    <t>TOKO SAHLIL</t>
  </si>
  <si>
    <t>BOCOR</t>
  </si>
  <si>
    <t>011003260500244</t>
  </si>
  <si>
    <t>011003260500714</t>
  </si>
  <si>
    <t>011003260500719</t>
  </si>
  <si>
    <t>TOKO BU NUR</t>
  </si>
  <si>
    <t>011003260500724</t>
  </si>
  <si>
    <t>011003260500618</t>
  </si>
  <si>
    <t>011003260400237</t>
  </si>
  <si>
    <t>TOKO GAMAS</t>
  </si>
  <si>
    <t>KARANGANYAR</t>
  </si>
  <si>
    <t>011003260500283</t>
  </si>
  <si>
    <t>TOKO PAINEM</t>
  </si>
  <si>
    <t>PASAR KEMIT</t>
  </si>
  <si>
    <t>011003260500725</t>
  </si>
  <si>
    <t>TOKO BU MUJI</t>
  </si>
  <si>
    <t>011003260500726</t>
  </si>
  <si>
    <t>TOKO SITUM</t>
  </si>
  <si>
    <t>011003260500727</t>
  </si>
  <si>
    <t>TOKO PONIAH</t>
  </si>
  <si>
    <t>011003260500728</t>
  </si>
  <si>
    <t>TOKO YANI</t>
  </si>
  <si>
    <t>POHKUMBANG</t>
  </si>
  <si>
    <t>011003260500732</t>
  </si>
  <si>
    <t>TOKO SISWANTO</t>
  </si>
  <si>
    <t>011003260500735</t>
  </si>
  <si>
    <t>TOKO WARISAH</t>
  </si>
  <si>
    <t>KEDUNGJATI</t>
  </si>
  <si>
    <t>011003260500762</t>
  </si>
  <si>
    <t>TOKO POJOK</t>
  </si>
  <si>
    <t>011003260500739</t>
  </si>
  <si>
    <t>TOKO DJONO</t>
  </si>
  <si>
    <t>SELOKERTO</t>
  </si>
  <si>
    <t>011003260500740</t>
  </si>
  <si>
    <t>TOKO MARNI</t>
  </si>
  <si>
    <t>PASAR JATIRATA</t>
  </si>
  <si>
    <t>011003260500744</t>
  </si>
  <si>
    <t>TOKO MEYLA</t>
  </si>
  <si>
    <t>011003260500749</t>
  </si>
  <si>
    <t>TOKO PARTI</t>
  </si>
  <si>
    <t>KRETEG</t>
  </si>
  <si>
    <t>011003260500751</t>
  </si>
  <si>
    <t>TOKO BU TUTI</t>
  </si>
  <si>
    <t>SEMONDO</t>
  </si>
  <si>
    <t>011003260500753</t>
  </si>
  <si>
    <t>TOKO LILI</t>
  </si>
  <si>
    <t>GUNUNG MUJIL</t>
  </si>
  <si>
    <t>011003260500755</t>
  </si>
  <si>
    <t>TOKO KARTIAH</t>
  </si>
  <si>
    <t>KUWARU</t>
  </si>
  <si>
    <t>011003260500757</t>
  </si>
  <si>
    <t>TOKO SRI ATUN</t>
  </si>
  <si>
    <t>011003260500741</t>
  </si>
  <si>
    <t>011003260500750</t>
  </si>
  <si>
    <t>011003260500752</t>
  </si>
  <si>
    <t>011003260500754</t>
  </si>
  <si>
    <t>011003260500756</t>
  </si>
  <si>
    <t>011003260500758</t>
  </si>
  <si>
    <t>011003260600106</t>
  </si>
  <si>
    <t>TOKO SHEILA</t>
  </si>
  <si>
    <t>011003260600107</t>
  </si>
  <si>
    <t>WARUNG MURSA</t>
  </si>
  <si>
    <t>011003260600113</t>
  </si>
  <si>
    <t>TOKO WARAS</t>
  </si>
  <si>
    <t>011003260600099</t>
  </si>
  <si>
    <t>TOKO MITRA</t>
  </si>
  <si>
    <t>011003260600114</t>
  </si>
  <si>
    <t>TOKO MONA</t>
  </si>
  <si>
    <t>CANDI</t>
  </si>
  <si>
    <t>011003260600095</t>
  </si>
  <si>
    <t>TOKO ANGGA</t>
  </si>
  <si>
    <t>KARANGSARI</t>
  </si>
  <si>
    <t>ALIM(RAJU)</t>
  </si>
  <si>
    <t>KAMIS 04/06/2026</t>
  </si>
  <si>
    <t>TOKO OKI/ARETA</t>
  </si>
  <si>
    <t>AMBAL</t>
  </si>
  <si>
    <t>011003260500786</t>
  </si>
  <si>
    <t>SRC CAHAYA ABADI</t>
  </si>
  <si>
    <t>BLENGOR KULON</t>
  </si>
  <si>
    <t>011003260500789</t>
  </si>
  <si>
    <t>PASAR BENDO</t>
  </si>
  <si>
    <t>011003260500676</t>
  </si>
  <si>
    <t>TOKO PAK WANTO</t>
  </si>
  <si>
    <t>SITI BENTAR</t>
  </si>
  <si>
    <t>011003260500790</t>
  </si>
  <si>
    <t>011003260500794</t>
  </si>
  <si>
    <t>TOKO LANDUNG</t>
  </si>
  <si>
    <t>PENEKET AMBAL</t>
  </si>
  <si>
    <t>011003260500795</t>
  </si>
  <si>
    <t>011003260500799</t>
  </si>
  <si>
    <t>011003260500284</t>
  </si>
  <si>
    <t>TOKO HUSNA</t>
  </si>
  <si>
    <t>011003260500294</t>
  </si>
  <si>
    <t>TOKO SUKARNI</t>
  </si>
  <si>
    <t>PANJANGSARI</t>
  </si>
  <si>
    <t>MENGANTI</t>
  </si>
  <si>
    <t>GIWANGRETNO</t>
  </si>
  <si>
    <t>011003260500439</t>
  </si>
  <si>
    <t>TOKO JOSSY</t>
  </si>
  <si>
    <t>011003260500801</t>
  </si>
  <si>
    <t>TOKO RUKUN SAYUR</t>
  </si>
  <si>
    <t>011003260500803</t>
  </si>
  <si>
    <t>TOKO SUBROTO</t>
  </si>
  <si>
    <t>011003260500804</t>
  </si>
  <si>
    <t>TOKO SRC NIKMAH</t>
  </si>
  <si>
    <t>011003260500807</t>
  </si>
  <si>
    <t>TOKO CAHAYA 3</t>
  </si>
  <si>
    <t>SIDOHARJO</t>
  </si>
  <si>
    <t>011003260500809</t>
  </si>
  <si>
    <t>TOKO CITIR BUAH</t>
  </si>
  <si>
    <t>011003260500810</t>
  </si>
  <si>
    <t>RISKA SAYURAN</t>
  </si>
  <si>
    <t>011003260500730</t>
  </si>
  <si>
    <t>TOKO SIDOMULYO</t>
  </si>
  <si>
    <t>KEMIT</t>
  </si>
  <si>
    <t>011003260500731</t>
  </si>
  <si>
    <t>TOKO MBA NUR</t>
  </si>
  <si>
    <t>011003260500733</t>
  </si>
  <si>
    <t>TOKO IQBAL</t>
  </si>
  <si>
    <t>PENIMBUN</t>
  </si>
  <si>
    <t>011003260500630</t>
  </si>
  <si>
    <t>MAJU MAKMUR</t>
  </si>
  <si>
    <t>011003260500737</t>
  </si>
  <si>
    <t>TOKO ASIH</t>
  </si>
  <si>
    <t>011003260500738</t>
  </si>
  <si>
    <t>011003260500811</t>
  </si>
  <si>
    <t>011003260500813</t>
  </si>
  <si>
    <t>BAGUS CELL</t>
  </si>
  <si>
    <t>011003260500814</t>
  </si>
  <si>
    <t>TOKO AMIN</t>
  </si>
  <si>
    <t>SIDOARJO</t>
  </si>
  <si>
    <t>011003260500815</t>
  </si>
  <si>
    <t>011003260500742</t>
  </si>
  <si>
    <t>TOKO MAIZA</t>
  </si>
  <si>
    <t>PASAR JATIROTO</t>
  </si>
  <si>
    <t>011003260500767</t>
  </si>
  <si>
    <t>TOKO AQILA</t>
  </si>
  <si>
    <t>TAMBAK</t>
  </si>
  <si>
    <t>011003260500768</t>
  </si>
  <si>
    <t>TOKO BANGUN</t>
  </si>
  <si>
    <t>PASAR SUMPIUH</t>
  </si>
  <si>
    <t>011003260500769</t>
  </si>
  <si>
    <t>TOKO AYU</t>
  </si>
  <si>
    <t>011003260500770</t>
  </si>
  <si>
    <t>TOKO TUNJIAH</t>
  </si>
  <si>
    <t>SUMPIUH</t>
  </si>
  <si>
    <t>011003260500773</t>
  </si>
  <si>
    <t>SUMBER MAKMUR</t>
  </si>
  <si>
    <t>BOGANGIN</t>
  </si>
  <si>
    <t>011003260500774</t>
  </si>
  <si>
    <t>TOKO RATI</t>
  </si>
  <si>
    <t>WATUAGUNG</t>
  </si>
  <si>
    <t>011003260500775</t>
  </si>
  <si>
    <t>TOKO WAHONO</t>
  </si>
  <si>
    <t>011003260500743</t>
  </si>
  <si>
    <t>011003260500776</t>
  </si>
  <si>
    <t>011003260500778</t>
  </si>
  <si>
    <t>011003260500779</t>
  </si>
  <si>
    <t>011003260500780</t>
  </si>
  <si>
    <t>011003260600130</t>
  </si>
  <si>
    <t>011003260600133</t>
  </si>
  <si>
    <t>TOKO MARGA JAYA</t>
  </si>
  <si>
    <t>JL YOS SUDARSO</t>
  </si>
  <si>
    <t>011003260600160</t>
  </si>
  <si>
    <t>TOKO SAKA</t>
  </si>
  <si>
    <t>PASAR PURWOGONDO</t>
  </si>
  <si>
    <t>011003260600137</t>
  </si>
  <si>
    <t>TOKO BU NANI</t>
  </si>
  <si>
    <t>011003260600144</t>
  </si>
  <si>
    <t>TOKO TOHIR</t>
  </si>
  <si>
    <t>011003260600147</t>
  </si>
  <si>
    <t>TOKO NOVAL</t>
  </si>
  <si>
    <t>011003260600149</t>
  </si>
  <si>
    <t>TOKO PAK AHMAD</t>
  </si>
  <si>
    <t>KLAPAGADA</t>
  </si>
  <si>
    <t>011003260600152</t>
  </si>
  <si>
    <t>011003260600158</t>
  </si>
  <si>
    <t>011003260600100</t>
  </si>
  <si>
    <t>KHARISMA SWALAYAN</t>
  </si>
  <si>
    <t>LUNAS (TF 4/6/26)</t>
  </si>
  <si>
    <t>011003260600121</t>
  </si>
  <si>
    <t>TOKO BU ASIH</t>
  </si>
  <si>
    <t>ALIM(JOSSY)</t>
  </si>
  <si>
    <t>LUNAS ( TF 4/6/26)</t>
  </si>
  <si>
    <t>PAK ITO</t>
  </si>
  <si>
    <t>133569</t>
  </si>
  <si>
    <t>TOKO NUNUNG</t>
  </si>
  <si>
    <t>KLIRONG</t>
  </si>
  <si>
    <t>TITIP (WELLLFARE)</t>
  </si>
  <si>
    <t>JUMAT 05/06/2026</t>
  </si>
  <si>
    <t>011003260500783</t>
  </si>
  <si>
    <t>011003260500834</t>
  </si>
  <si>
    <t>TOKO SILMI</t>
  </si>
  <si>
    <t>011003260500836</t>
  </si>
  <si>
    <t>BUMDES MAPAN 1</t>
  </si>
  <si>
    <t>BUMIREJO</t>
  </si>
  <si>
    <t>011003260500860</t>
  </si>
  <si>
    <t>TOKO HUSADA</t>
  </si>
  <si>
    <t>SELANG</t>
  </si>
  <si>
    <t>011003260500861</t>
  </si>
  <si>
    <t>TOKO UMAT</t>
  </si>
  <si>
    <t>KUTOSARI</t>
  </si>
  <si>
    <t>011003260500792</t>
  </si>
  <si>
    <t>TOKO BU MAR</t>
  </si>
  <si>
    <t>BENER KULON</t>
  </si>
  <si>
    <t>011003260500837</t>
  </si>
  <si>
    <t>BUMDES MAPAN 2</t>
  </si>
  <si>
    <t>011003260500176</t>
  </si>
  <si>
    <t>TOKO MIE KANG BEJO</t>
  </si>
  <si>
    <t>SRUWNEG</t>
  </si>
  <si>
    <t>011003260500343</t>
  </si>
  <si>
    <t>011003260500351</t>
  </si>
  <si>
    <t>TOKO RURI</t>
  </si>
  <si>
    <t>011003260500396</t>
  </si>
  <si>
    <t>TOKO BU KANIT</t>
  </si>
  <si>
    <t>011003260500397</t>
  </si>
  <si>
    <t>TOKO YONO</t>
  </si>
  <si>
    <t>011003260500398</t>
  </si>
  <si>
    <t>TOKO BU MINAH</t>
  </si>
  <si>
    <t>011003260500400</t>
  </si>
  <si>
    <t>TOKO PURWANTO</t>
  </si>
  <si>
    <t>011003260500800</t>
  </si>
  <si>
    <t>TOKO PRIMA</t>
  </si>
  <si>
    <t>JATIMULYO</t>
  </si>
  <si>
    <t>011003260500841</t>
  </si>
  <si>
    <t>TOKO SRC KARUNIA</t>
  </si>
  <si>
    <t>011003260500843</t>
  </si>
  <si>
    <t>MUSTIKA JAYA</t>
  </si>
  <si>
    <t>JEMAJAR</t>
  </si>
  <si>
    <t>011003260500844</t>
  </si>
  <si>
    <t>TOKO HANA SAPTIKO MULYO</t>
  </si>
  <si>
    <t>JL MELES</t>
  </si>
  <si>
    <t>011003260500847</t>
  </si>
  <si>
    <t>TOKO BAMBANG</t>
  </si>
  <si>
    <t>011003260500848</t>
  </si>
  <si>
    <t>TOKO MBAK CATUR</t>
  </si>
  <si>
    <t>PI MART</t>
  </si>
  <si>
    <t>011003260500761</t>
  </si>
  <si>
    <t>011003260500842</t>
  </si>
  <si>
    <t>011003260500850</t>
  </si>
  <si>
    <t>SUMBER REJEKI</t>
  </si>
  <si>
    <t>011003260500852</t>
  </si>
  <si>
    <t>011003260500853</t>
  </si>
  <si>
    <t>011003260500855</t>
  </si>
  <si>
    <t>011003260500856</t>
  </si>
  <si>
    <t>TOKO RATIH</t>
  </si>
  <si>
    <t>PASAR MERGOSONO</t>
  </si>
  <si>
    <t>011003260500821</t>
  </si>
  <si>
    <t>TOKO WIWIN</t>
  </si>
  <si>
    <t>011003260500822</t>
  </si>
  <si>
    <t>TOKO MARSIH</t>
  </si>
  <si>
    <t>011003260500823</t>
  </si>
  <si>
    <t>BU SUGI</t>
  </si>
  <si>
    <t>011003260500825</t>
  </si>
  <si>
    <t>TOKO SARTINI</t>
  </si>
  <si>
    <t>011003260500827</t>
  </si>
  <si>
    <t>TOKO SHINTA</t>
  </si>
  <si>
    <t>JL KARANGBOLONG</t>
  </si>
  <si>
    <t>011003260500863</t>
  </si>
  <si>
    <t>TOKO DIAN</t>
  </si>
  <si>
    <t>011003260500782</t>
  </si>
  <si>
    <t>011003260500830</t>
  </si>
  <si>
    <t>TOKO PRATAMA</t>
  </si>
  <si>
    <t>BANYUMUDAL</t>
  </si>
  <si>
    <t>011003260600185</t>
  </si>
  <si>
    <t>TOKO MUSLIMAT</t>
  </si>
  <si>
    <t>011003260600186</t>
  </si>
  <si>
    <t>011003260600187</t>
  </si>
  <si>
    <t>PUTRA MANDIRI</t>
  </si>
  <si>
    <t>011003260600190</t>
  </si>
  <si>
    <t>011003260600194</t>
  </si>
  <si>
    <t>TOKO SURAS</t>
  </si>
  <si>
    <t>011003260600165</t>
  </si>
  <si>
    <t>TOKO DHIJAYA</t>
  </si>
  <si>
    <t>011003260600168</t>
  </si>
  <si>
    <t>TOKO LUCKY</t>
  </si>
  <si>
    <t>BLENGOR WETAN</t>
  </si>
  <si>
    <t>011003260600202</t>
  </si>
  <si>
    <t>TOKO SUTIMAH</t>
  </si>
  <si>
    <t>011003260600204</t>
  </si>
  <si>
    <t>011003260600173</t>
  </si>
  <si>
    <t>TOKO HABIB</t>
  </si>
  <si>
    <t>TRIKARSO</t>
  </si>
  <si>
    <t>011003260600176</t>
  </si>
  <si>
    <t>011003260600177</t>
  </si>
  <si>
    <t>011003260500545</t>
  </si>
  <si>
    <t>TOKO ELA</t>
  </si>
  <si>
    <t>KALIBAGOR</t>
  </si>
  <si>
    <t>SABTU 06/06/2026</t>
  </si>
  <si>
    <t>011003260500408</t>
  </si>
  <si>
    <t>TOKO AKROM</t>
  </si>
  <si>
    <t>KALIPUTIH</t>
  </si>
  <si>
    <t>011003260500409</t>
  </si>
  <si>
    <t>TOKO DANANG</t>
  </si>
  <si>
    <t>PASAR PON</t>
  </si>
  <si>
    <t>011003260500867</t>
  </si>
  <si>
    <t>TOKO NAPSYAH</t>
  </si>
  <si>
    <t>011003260500869</t>
  </si>
  <si>
    <t>TOKO ARFAN</t>
  </si>
  <si>
    <t>WONOKROMO</t>
  </si>
  <si>
    <t>011003260500410</t>
  </si>
  <si>
    <t>011003260500411</t>
  </si>
  <si>
    <t>011003260500864</t>
  </si>
  <si>
    <t>TOKO RESTU</t>
  </si>
  <si>
    <t>SENDANGDALEM</t>
  </si>
  <si>
    <t>011003260500868</t>
  </si>
  <si>
    <t>011003260500870</t>
  </si>
  <si>
    <t>011003260500894</t>
  </si>
  <si>
    <t>TOKO GEMILANG</t>
  </si>
  <si>
    <t>LANGSE</t>
  </si>
  <si>
    <t>011003260500535</t>
  </si>
  <si>
    <t>TOKO LAPANGAN</t>
  </si>
  <si>
    <t>PENIRON</t>
  </si>
  <si>
    <t>011003260500858</t>
  </si>
  <si>
    <t>TOKO AS-TSABIT</t>
  </si>
  <si>
    <t>KEBAGORAN</t>
  </si>
  <si>
    <t>011003260500880</t>
  </si>
  <si>
    <t>TOKO TUMI</t>
  </si>
  <si>
    <t>PASAR KARANGSAMBUNG</t>
  </si>
  <si>
    <t>011003260500881</t>
  </si>
  <si>
    <t>TOKO BU LURAH</t>
  </si>
  <si>
    <t>TOKO SUTARMAN</t>
  </si>
  <si>
    <t>UTARA LIPPI</t>
  </si>
  <si>
    <t>KARANGSAMBUNG</t>
  </si>
  <si>
    <t>011003260500884</t>
  </si>
  <si>
    <t>TOKO PASHA INDAH</t>
  </si>
  <si>
    <t>011003260500886</t>
  </si>
  <si>
    <t>BERKAH MULYA</t>
  </si>
  <si>
    <t>KALIGENDING</t>
  </si>
  <si>
    <t>011003260500433</t>
  </si>
  <si>
    <t>011003260500854</t>
  </si>
  <si>
    <t>TOKO REJO</t>
  </si>
  <si>
    <t>011003260500891</t>
  </si>
  <si>
    <t>011003260500893</t>
  </si>
  <si>
    <t>TOKO KASINAH</t>
  </si>
  <si>
    <t>011003260500897</t>
  </si>
  <si>
    <t>SS PLASTIK</t>
  </si>
  <si>
    <t>PETANHAN</t>
  </si>
  <si>
    <t>011003260500421</t>
  </si>
  <si>
    <t>TOKO SINAR MART</t>
  </si>
  <si>
    <t>KEDALEMAN</t>
  </si>
  <si>
    <t>011003260500493</t>
  </si>
  <si>
    <t>SINAR PURWOGONDO</t>
  </si>
  <si>
    <t>PURWOGONDO</t>
  </si>
  <si>
    <t>011003260500857</t>
  </si>
  <si>
    <t>TOKO RUDI</t>
  </si>
  <si>
    <t>011003260500871</t>
  </si>
  <si>
    <t>TOKO AL BAROKAH</t>
  </si>
  <si>
    <t>011003260500873</t>
  </si>
  <si>
    <t>TOKO EDI SUNARYO</t>
  </si>
  <si>
    <t>SUWUK</t>
  </si>
  <si>
    <t>011003260500874</t>
  </si>
  <si>
    <t>TOKO SIPUR</t>
  </si>
  <si>
    <t>WETON WETAN</t>
  </si>
  <si>
    <t>011003260500876</t>
  </si>
  <si>
    <t>TK KANG BAWOR</t>
  </si>
  <si>
    <t>KEDALEMAN KULON</t>
  </si>
  <si>
    <t>011003260500877</t>
  </si>
  <si>
    <t>TOKO MBA SRI</t>
  </si>
  <si>
    <t>011003260500423</t>
  </si>
  <si>
    <t>011003260500495</t>
  </si>
  <si>
    <t>011003260500878</t>
  </si>
  <si>
    <t>011003260500898</t>
  </si>
  <si>
    <t>TOKO TRI</t>
  </si>
  <si>
    <t>011003260600207</t>
  </si>
  <si>
    <t>TOKO SARTI</t>
  </si>
  <si>
    <t>NOGORAJI</t>
  </si>
  <si>
    <t>011003260600219</t>
  </si>
  <si>
    <t>TOKO BU YUNG</t>
  </si>
  <si>
    <t>MADURESO</t>
  </si>
  <si>
    <t>TOKO SINAR LAWET 2</t>
  </si>
  <si>
    <t>011003260600220</t>
  </si>
  <si>
    <t>011003260600227</t>
  </si>
  <si>
    <t>TOKO PARMIN</t>
  </si>
  <si>
    <t>SENIN 08/06/2026</t>
  </si>
  <si>
    <t>011001126050016</t>
  </si>
  <si>
    <t>TOKO MAHYA</t>
  </si>
  <si>
    <t>011003260500866</t>
  </si>
  <si>
    <t>TOKO PAINO</t>
  </si>
  <si>
    <t>011003260500909</t>
  </si>
  <si>
    <t>TOKO SHEKH</t>
  </si>
  <si>
    <t>KELAPA SAWIT</t>
  </si>
  <si>
    <t>011003260500910</t>
  </si>
  <si>
    <t>SANGUBANYU</t>
  </si>
  <si>
    <t>011003260500911</t>
  </si>
  <si>
    <t>TOKO PUTRI LESTARI</t>
  </si>
  <si>
    <t>SIDOMORO</t>
  </si>
  <si>
    <t>011003260500912</t>
  </si>
  <si>
    <t>TOKO SARYADI</t>
  </si>
  <si>
    <t>PASAR JATI SARI</t>
  </si>
  <si>
    <t>011003260500913</t>
  </si>
  <si>
    <t>011003260500017</t>
  </si>
  <si>
    <t>011003260500865</t>
  </si>
  <si>
    <t>TOKO ATENG</t>
  </si>
  <si>
    <t>011003260500428</t>
  </si>
  <si>
    <t>TOKO SUPARMAN</t>
  </si>
  <si>
    <t>011011260500001</t>
  </si>
  <si>
    <t>TOKO SANG BARU</t>
  </si>
  <si>
    <t>KALENG</t>
  </si>
  <si>
    <t>KEDUNGSARI</t>
  </si>
  <si>
    <t>011011260500007</t>
  </si>
  <si>
    <t>TOKO TINI/HADI SUWITO</t>
  </si>
  <si>
    <t>011003260500923</t>
  </si>
  <si>
    <t>TOKO ATUN</t>
  </si>
  <si>
    <t>WOTBUONO</t>
  </si>
  <si>
    <t>011003260500892</t>
  </si>
  <si>
    <t>011003260500919</t>
  </si>
  <si>
    <t>TOKO KANAYA</t>
  </si>
  <si>
    <t>PASAR JOGOSIMO</t>
  </si>
  <si>
    <t>011003260500925</t>
  </si>
  <si>
    <t>TOKO JANGI</t>
  </si>
  <si>
    <t>011003260500927</t>
  </si>
  <si>
    <t>011003260500928</t>
  </si>
  <si>
    <t>TOKO SRC CITRA</t>
  </si>
  <si>
    <t>011003260500929</t>
  </si>
  <si>
    <t>TOKO SRC SETIA HATI</t>
  </si>
  <si>
    <t>KEDUNGWINANGUN</t>
  </si>
  <si>
    <t>TOKO SUBUR</t>
  </si>
  <si>
    <t>011001260500002</t>
  </si>
  <si>
    <t>TOKO MARMO</t>
  </si>
  <si>
    <t>PASAR ROWOKELE</t>
  </si>
  <si>
    <t>011003260500938</t>
  </si>
  <si>
    <t>BUNIAYU</t>
  </si>
  <si>
    <t>011003260500777</t>
  </si>
  <si>
    <t>JATIRORO RT 4 RW 1</t>
  </si>
  <si>
    <t>011003260500900</t>
  </si>
  <si>
    <t>JL PUSKESMAS KM 1</t>
  </si>
  <si>
    <t>011001260500001</t>
  </si>
  <si>
    <t>ROWOKELE</t>
  </si>
  <si>
    <t>011001260500003</t>
  </si>
  <si>
    <t>011003260600256</t>
  </si>
  <si>
    <t>TOKO BRASIL</t>
  </si>
  <si>
    <t>011003260600257</t>
  </si>
  <si>
    <t>PAK PAITON</t>
  </si>
  <si>
    <t>011003260600261</t>
  </si>
  <si>
    <t>TOKO PARTUN</t>
  </si>
  <si>
    <t>011003260600271</t>
  </si>
  <si>
    <t>TOKO PAK SUDI</t>
  </si>
  <si>
    <t>011003260600273</t>
  </si>
  <si>
    <t>TOKO MUKLAS</t>
  </si>
  <si>
    <t>KARANGANYAR/BIMTEK</t>
  </si>
  <si>
    <t>011003260600247</t>
  </si>
  <si>
    <t>TOKO LUGAS JAYA</t>
  </si>
  <si>
    <t>011003260600252</t>
  </si>
  <si>
    <t>TOKO GRIYA BELANJA</t>
  </si>
  <si>
    <t>011003260600270</t>
  </si>
  <si>
    <t>011003260600243</t>
  </si>
  <si>
    <t>TOKO FAMILI</t>
  </si>
  <si>
    <t>011003260600244</t>
  </si>
  <si>
    <t>011003260600267</t>
  </si>
  <si>
    <t>KARANGSMABUNG</t>
  </si>
  <si>
    <t xml:space="preserve">            </t>
  </si>
  <si>
    <t>SELASA 09/06/2026</t>
  </si>
  <si>
    <t>PASAR JATISARI</t>
  </si>
  <si>
    <t>PASAR KRAKAL</t>
  </si>
  <si>
    <t>011003260500964</t>
  </si>
  <si>
    <t>TOKO JAYA SEMBAKO</t>
  </si>
  <si>
    <t>BANDUNGSERUNI</t>
  </si>
  <si>
    <t>011003260500966</t>
  </si>
  <si>
    <t>TOKO UMU</t>
  </si>
  <si>
    <t>PASAR SRUNI</t>
  </si>
  <si>
    <t>011003260500967</t>
  </si>
  <si>
    <t>TOKO ASMINAH</t>
  </si>
  <si>
    <t>011003260500986</t>
  </si>
  <si>
    <t>TOKO H NUR KHOLIS</t>
  </si>
  <si>
    <t>011003260500970</t>
  </si>
  <si>
    <t>TOKO ROSIDAH</t>
  </si>
  <si>
    <t>011003260500935</t>
  </si>
  <si>
    <t>TOKO HAMDAN</t>
  </si>
  <si>
    <t>WONOSARI</t>
  </si>
  <si>
    <t>011003260500973</t>
  </si>
  <si>
    <t>TOKO BU IDA</t>
  </si>
  <si>
    <t>011003260500974</t>
  </si>
  <si>
    <t>011003260500976</t>
  </si>
  <si>
    <t>TOKO YUDI</t>
  </si>
  <si>
    <t>011003260500981</t>
  </si>
  <si>
    <t>011003260500983</t>
  </si>
  <si>
    <t>011003260500984</t>
  </si>
  <si>
    <t>TOKO ENGGAL</t>
  </si>
  <si>
    <t>011003260501006</t>
  </si>
  <si>
    <t>PASAR SERUNI</t>
  </si>
  <si>
    <t>011011260500004</t>
  </si>
  <si>
    <t>TOKO SITI</t>
  </si>
  <si>
    <t>PANDANLOR</t>
  </si>
  <si>
    <t>011011260500006</t>
  </si>
  <si>
    <t>TOKO EKA SARI</t>
  </si>
  <si>
    <t>PASAR KEPUTIHAN</t>
  </si>
  <si>
    <t>011003260500466</t>
  </si>
  <si>
    <t>SINAR DOROWATI</t>
  </si>
  <si>
    <t>PASAR DOROWAT</t>
  </si>
  <si>
    <t>011003260500468</t>
  </si>
  <si>
    <t>TOKO IDAMAN</t>
  </si>
  <si>
    <t>011003260500991</t>
  </si>
  <si>
    <t>TOKO CERIA</t>
  </si>
  <si>
    <t>PASAR KRITIG</t>
  </si>
  <si>
    <t>011003260500992</t>
  </si>
  <si>
    <t>TOKO SAMSUDIN</t>
  </si>
  <si>
    <t>NAMPUDADI</t>
  </si>
  <si>
    <t>PASAR PUTIHAN</t>
  </si>
  <si>
    <t>011003260500994</t>
  </si>
  <si>
    <t>TOKO MARSILAH</t>
  </si>
  <si>
    <t>011003260500995</t>
  </si>
  <si>
    <t>TOKO RAHAYU</t>
  </si>
  <si>
    <t>011003260500474</t>
  </si>
  <si>
    <t>011003260500931</t>
  </si>
  <si>
    <t>011003260500998</t>
  </si>
  <si>
    <t>TOKO ARI 2</t>
  </si>
  <si>
    <t>011003260501002</t>
  </si>
  <si>
    <t>011003260500945</t>
  </si>
  <si>
    <t xml:space="preserve">PASAR COKOLAN </t>
  </si>
  <si>
    <t>011003260500946</t>
  </si>
  <si>
    <t>TOKO AL HAYAN</t>
  </si>
  <si>
    <t>ARJOSARO 2/2</t>
  </si>
  <si>
    <t>011003260500947</t>
  </si>
  <si>
    <t>TOKO MIRAH</t>
  </si>
  <si>
    <t>ARJOMULYO</t>
  </si>
  <si>
    <t>011003260500949</t>
  </si>
  <si>
    <t>TOKO SUSILO</t>
  </si>
  <si>
    <t>ORI</t>
  </si>
  <si>
    <t>011003260500950</t>
  </si>
  <si>
    <t>011003260500953</t>
  </si>
  <si>
    <t>011003260600298</t>
  </si>
  <si>
    <t>BU SOPAN</t>
  </si>
  <si>
    <t>TEBA LOR/CANDIRENGGO</t>
  </si>
  <si>
    <t>011003260600299</t>
  </si>
  <si>
    <t>TOKO SUYANTO</t>
  </si>
  <si>
    <t>MANGUNWENI</t>
  </si>
  <si>
    <t>011003260600300</t>
  </si>
  <si>
    <t>TOKO EVAN JAYA</t>
  </si>
  <si>
    <t>011003260600301</t>
  </si>
  <si>
    <t>TOKO KARISMA</t>
  </si>
  <si>
    <t>011003260600304</t>
  </si>
  <si>
    <t>011003260600309</t>
  </si>
  <si>
    <t>011003260600310</t>
  </si>
  <si>
    <t>TF 9/6/26</t>
  </si>
  <si>
    <t>011003260600283</t>
  </si>
  <si>
    <t>TOKO TOIPAH</t>
  </si>
  <si>
    <t>JOGOPATEN</t>
  </si>
  <si>
    <t>RABU 10/06/2026</t>
  </si>
  <si>
    <t>PASAR THENGOK</t>
  </si>
  <si>
    <t>011003260500901</t>
  </si>
  <si>
    <t>TOKO SRC GUN</t>
  </si>
  <si>
    <t>AYAM PUTIH</t>
  </si>
  <si>
    <t>011003260500902</t>
  </si>
  <si>
    <t>TOKO AGUS</t>
  </si>
  <si>
    <t>011003260500905</t>
  </si>
  <si>
    <t>TOKO SINAR MULYA</t>
  </si>
  <si>
    <t>PUCANGAN</t>
  </si>
  <si>
    <t>011003260500906</t>
  </si>
  <si>
    <t>TOKO RANI</t>
  </si>
  <si>
    <t>PUCANGAN AMBAL</t>
  </si>
  <si>
    <t>011003260500907</t>
  </si>
  <si>
    <t>TOKO NGATINO</t>
  </si>
  <si>
    <t>AMBAL KEREK</t>
  </si>
  <si>
    <t>011003260500908</t>
  </si>
  <si>
    <t>TOKO NADIRA</t>
  </si>
  <si>
    <t>GONDANG LEGI</t>
  </si>
  <si>
    <t>011003260500969</t>
  </si>
  <si>
    <t>TOKO MUGI BERKAH</t>
  </si>
  <si>
    <t>BANDUNGSRUNI</t>
  </si>
  <si>
    <t>011003260500246</t>
  </si>
  <si>
    <t>TOKO HASAN</t>
  </si>
  <si>
    <t>TANURAKSAN</t>
  </si>
  <si>
    <t>011003260500918</t>
  </si>
  <si>
    <t>011003260500942</t>
  </si>
  <si>
    <t>TOKO SUMBER ABADI</t>
  </si>
  <si>
    <t>011003260500980</t>
  </si>
  <si>
    <t>011003260500462</t>
  </si>
  <si>
    <t>TOKO ACHI MART</t>
  </si>
  <si>
    <t>PODOURIP</t>
  </si>
  <si>
    <t>011003260500470</t>
  </si>
  <si>
    <t>TOKO SULIYAH</t>
  </si>
  <si>
    <t>011003260500486</t>
  </si>
  <si>
    <t>TOKO UMI/OLA</t>
  </si>
  <si>
    <t>ADITIRTO</t>
  </si>
  <si>
    <t>011003260500502</t>
  </si>
  <si>
    <t>SRC SUMBER BERKAH</t>
  </si>
  <si>
    <t>KARANGGEDANG</t>
  </si>
  <si>
    <t>011003260500988</t>
  </si>
  <si>
    <t>TOKO YATI</t>
  </si>
  <si>
    <t>011003260500989</t>
  </si>
  <si>
    <t>TOKO BU INGAH</t>
  </si>
  <si>
    <t>011003260500476</t>
  </si>
  <si>
    <t>MIE AYAM RUDIN</t>
  </si>
  <si>
    <t>PASAR DOROWATI</t>
  </si>
  <si>
    <t>011003260500999</t>
  </si>
  <si>
    <t>TOKO BU ARI</t>
  </si>
  <si>
    <t>011003260500954</t>
  </si>
  <si>
    <t>TOKO NENI</t>
  </si>
  <si>
    <t>011003260500955</t>
  </si>
  <si>
    <t>TOKO SARLI</t>
  </si>
  <si>
    <t>011003260500957</t>
  </si>
  <si>
    <t>PURING INDAH</t>
  </si>
  <si>
    <t>SITIADI</t>
  </si>
  <si>
    <t>011003260500958</t>
  </si>
  <si>
    <t>TOKO 99 A MART</t>
  </si>
  <si>
    <t>JL LAUT BOPONG</t>
  </si>
  <si>
    <t>011003260501007</t>
  </si>
  <si>
    <t>TOKO MUKTI JAYA</t>
  </si>
  <si>
    <t>011003260500952</t>
  </si>
  <si>
    <t>TOKO NASWA</t>
  </si>
  <si>
    <t>PASAR KUWARASAN</t>
  </si>
  <si>
    <t>011003260500959</t>
  </si>
  <si>
    <t>011003260600339</t>
  </si>
  <si>
    <t>TOKO EDI</t>
  </si>
  <si>
    <t>SIDOMUKTI</t>
  </si>
  <si>
    <t>011003260600341</t>
  </si>
  <si>
    <t>011003260600343</t>
  </si>
  <si>
    <t>011003260600344</t>
  </si>
  <si>
    <t>TEGUH CELL</t>
  </si>
  <si>
    <t>011003260600345</t>
  </si>
  <si>
    <t>011003260600349</t>
  </si>
  <si>
    <t>PASAR ORI</t>
  </si>
  <si>
    <t>011003260600312</t>
  </si>
  <si>
    <t>TOKO CAKRA</t>
  </si>
  <si>
    <t>SRUNI</t>
  </si>
  <si>
    <t>011003260600325</t>
  </si>
  <si>
    <t>TOKO PENO</t>
  </si>
  <si>
    <t>ENTAK 2/1</t>
  </si>
  <si>
    <t>011003260600356</t>
  </si>
  <si>
    <t>TOKO DIMAS</t>
  </si>
  <si>
    <t>011003260600359</t>
  </si>
  <si>
    <t>TOKO TRI REJEKI</t>
  </si>
  <si>
    <t>PASAR SENIN</t>
  </si>
  <si>
    <t>011003260600364</t>
  </si>
  <si>
    <t>011003260600369</t>
  </si>
  <si>
    <t>011003260600371</t>
  </si>
  <si>
    <t>TOKO MINI JAYA</t>
  </si>
  <si>
    <t>011003260600373</t>
  </si>
  <si>
    <t>TOKO 60 (ENAM PULUH)</t>
  </si>
  <si>
    <t>PASAR KUTOWINANGUN</t>
  </si>
  <si>
    <t>011003260600392</t>
  </si>
  <si>
    <t>TOKO ANTI/WINDI</t>
  </si>
  <si>
    <t>011003260600396</t>
  </si>
  <si>
    <t>TOKO OTI/DD</t>
  </si>
  <si>
    <t>011003260600381</t>
  </si>
  <si>
    <t>TOKO SUPRI</t>
  </si>
  <si>
    <t>011003260600382</t>
  </si>
  <si>
    <t>BAKSO MUTIARA SOLO</t>
  </si>
  <si>
    <t>KUWARASAN</t>
  </si>
  <si>
    <t>011003260501009</t>
  </si>
  <si>
    <t>TOKO NARTI</t>
  </si>
  <si>
    <t>PASAR GOMBONG</t>
  </si>
  <si>
    <t>011003260501010</t>
  </si>
  <si>
    <t>TOKO SOLEH MARWANTO</t>
  </si>
  <si>
    <t>011003260501012</t>
  </si>
  <si>
    <t>TOKO ASRORI</t>
  </si>
  <si>
    <t>JL POTONGAN</t>
  </si>
  <si>
    <t>011003260501014</t>
  </si>
  <si>
    <t>TOKO BANON JAYA</t>
  </si>
  <si>
    <t>SIDOARUM</t>
  </si>
  <si>
    <t>011003260501015</t>
  </si>
  <si>
    <t>011003260501016</t>
  </si>
  <si>
    <t>011003260501017</t>
  </si>
  <si>
    <t>HANDOYO MART</t>
  </si>
  <si>
    <t>011003260500487</t>
  </si>
  <si>
    <t>011003260500531</t>
  </si>
  <si>
    <t>TOKO VICKY</t>
  </si>
  <si>
    <t>TEPAKYANG</t>
  </si>
  <si>
    <t>011003260500532</t>
  </si>
  <si>
    <t>TOKO PUAS MART</t>
  </si>
  <si>
    <t>SUGIHWARAS</t>
  </si>
  <si>
    <t>011003260500987</t>
  </si>
  <si>
    <t>TOKO WIJI</t>
  </si>
  <si>
    <t>BANYURATA</t>
  </si>
  <si>
    <t>011003260501020</t>
  </si>
  <si>
    <t>UD RIRIN</t>
  </si>
  <si>
    <t>011003260501021</t>
  </si>
  <si>
    <t>TOKO AGUS SETIAWAN</t>
  </si>
  <si>
    <t>BULUHPAYUNG</t>
  </si>
  <si>
    <t>011003260501022</t>
  </si>
  <si>
    <t>TOKO ENYONG CELL</t>
  </si>
  <si>
    <t>KEMUJAN</t>
  </si>
  <si>
    <t>011003260501024</t>
  </si>
  <si>
    <t>TOKO HARTONO 3</t>
  </si>
  <si>
    <t>TEROK/KEMUJAN</t>
  </si>
  <si>
    <t>SIDOMULYO</t>
  </si>
  <si>
    <t>011003260501029</t>
  </si>
  <si>
    <t>TOKO SEPTI</t>
  </si>
  <si>
    <t>011003260500538</t>
  </si>
  <si>
    <t>011003260500997</t>
  </si>
  <si>
    <t>011003260501000</t>
  </si>
  <si>
    <t>TOKO DAR</t>
  </si>
  <si>
    <t>011003260501019</t>
  </si>
  <si>
    <t>011001260400214</t>
  </si>
  <si>
    <t>TOKO IDA</t>
  </si>
  <si>
    <t>BABAD SARI</t>
  </si>
  <si>
    <t>011003260500765</t>
  </si>
  <si>
    <t>011003260501008</t>
  </si>
  <si>
    <t>TOKO SINAR BARU</t>
  </si>
  <si>
    <t>JATISARI</t>
  </si>
  <si>
    <t>011003260400358</t>
  </si>
  <si>
    <t>011003260400352</t>
  </si>
  <si>
    <t>KAMIS 11/06/2026</t>
  </si>
  <si>
    <t>JUMAT 12/06/2026</t>
  </si>
  <si>
    <t>011003260500066</t>
  </si>
  <si>
    <t>TOKO YINTA</t>
  </si>
  <si>
    <t>BANJUR MUKADAN</t>
  </si>
  <si>
    <t>011003260501031</t>
  </si>
  <si>
    <t>TOKO SUKRON</t>
  </si>
  <si>
    <t>011003260501032</t>
  </si>
  <si>
    <t>TOKO ENDAH</t>
  </si>
  <si>
    <t>SETROJENAR</t>
  </si>
  <si>
    <t>011003260400214</t>
  </si>
  <si>
    <t>011003260501037</t>
  </si>
  <si>
    <t>011003260501068</t>
  </si>
  <si>
    <t>011003260501069</t>
  </si>
  <si>
    <t>TOKO CITRA JAYA</t>
  </si>
  <si>
    <t>011003260500529</t>
  </si>
  <si>
    <t>TANTE DHEPY</t>
  </si>
  <si>
    <t>CARUBAN</t>
  </si>
  <si>
    <t>011003260500566</t>
  </si>
  <si>
    <t>TOKO CAHAYA</t>
  </si>
  <si>
    <t>PASAR GAMBLOK</t>
  </si>
  <si>
    <t>PASAR WEDI</t>
  </si>
  <si>
    <t>011003260501023</t>
  </si>
  <si>
    <t>TOKO ROTO</t>
  </si>
  <si>
    <t>011003260501059</t>
  </si>
  <si>
    <t>GAMBLOK BARU</t>
  </si>
  <si>
    <t>011003260501061</t>
  </si>
  <si>
    <t>TOKO TASNIM MART</t>
  </si>
  <si>
    <t>011003260500540</t>
  </si>
  <si>
    <t>011003260500578</t>
  </si>
  <si>
    <t>011003260501063</t>
  </si>
  <si>
    <t>TOKO NASIHA</t>
  </si>
  <si>
    <t>011003260501064</t>
  </si>
  <si>
    <t>TOKO SAYOTO</t>
  </si>
  <si>
    <t>011003260501066</t>
  </si>
  <si>
    <t>011003260501073</t>
  </si>
  <si>
    <t>TOKO PAK SLAMET</t>
  </si>
  <si>
    <t>011003260501039</t>
  </si>
  <si>
    <t>TOKO LISMA JAYA</t>
  </si>
  <si>
    <t>011003260501040</t>
  </si>
  <si>
    <t>CANTIKA CELL</t>
  </si>
  <si>
    <t>011003260501044</t>
  </si>
  <si>
    <t>PEKUNCEN</t>
  </si>
  <si>
    <t>011003260501048</t>
  </si>
  <si>
    <t>TOKO LKA</t>
  </si>
  <si>
    <t>PASAR KENTENG</t>
  </si>
  <si>
    <t>011003260501050</t>
  </si>
  <si>
    <t>RIFQY CELL</t>
  </si>
  <si>
    <t>011003260501052</t>
  </si>
  <si>
    <t>TOKO AISYAH</t>
  </si>
  <si>
    <t>011003260501054</t>
  </si>
  <si>
    <t>011003260501053</t>
  </si>
  <si>
    <t>011003260501056</t>
  </si>
  <si>
    <t>011003260501057</t>
  </si>
  <si>
    <t>LANGGENG CELL</t>
  </si>
  <si>
    <t>011003260501058</t>
  </si>
  <si>
    <t>TOKO SUPRIYANTO</t>
  </si>
  <si>
    <t>WANASIGRA</t>
  </si>
  <si>
    <t>011003260600424</t>
  </si>
  <si>
    <t>011003260600425</t>
  </si>
  <si>
    <t>TOKO BU JANAH</t>
  </si>
  <si>
    <t>011003260600427</t>
  </si>
  <si>
    <t>TOKO UCOK</t>
  </si>
  <si>
    <t>GG SINDORO</t>
  </si>
  <si>
    <t>011003260600401</t>
  </si>
  <si>
    <t>011003260600409</t>
  </si>
  <si>
    <t>BU JOKO 2</t>
  </si>
  <si>
    <t>011003260600414</t>
  </si>
  <si>
    <t>SINAR BAROKAH</t>
  </si>
  <si>
    <t>WAJASARI</t>
  </si>
  <si>
    <t>SABTU 13/06/2026</t>
  </si>
  <si>
    <t>011003260500542</t>
  </si>
  <si>
    <t>TRIWARNO</t>
  </si>
  <si>
    <t>011003260501036</t>
  </si>
  <si>
    <t>TOKO SOLEHUDIN</t>
  </si>
  <si>
    <t>011003260600001</t>
  </si>
  <si>
    <t>TOKO SUMI</t>
  </si>
  <si>
    <t>ARGOPENI</t>
  </si>
  <si>
    <t>011003260600002</t>
  </si>
  <si>
    <t>TOKO PUTRA BARU</t>
  </si>
  <si>
    <t>KUTOWINANGUN</t>
  </si>
  <si>
    <t>011003260600003</t>
  </si>
  <si>
    <t>TOKO ARTHA JAYA</t>
  </si>
  <si>
    <t>PASAR KENAYAN</t>
  </si>
  <si>
    <t>TOKO BARU JAYA</t>
  </si>
  <si>
    <t>011003260600007</t>
  </si>
  <si>
    <t>011003260600010</t>
  </si>
  <si>
    <t>TOKO SRI WALUYO</t>
  </si>
  <si>
    <t>KENAYAN</t>
  </si>
  <si>
    <t>011003260500570</t>
  </si>
  <si>
    <t>TOKO DIDI</t>
  </si>
  <si>
    <t>011003260500572</t>
  </si>
  <si>
    <t>TOKO KUSUMA INDAH</t>
  </si>
  <si>
    <t>JOGOMERTAN</t>
  </si>
  <si>
    <t>011003260500576</t>
  </si>
  <si>
    <t>011003260500613</t>
  </si>
  <si>
    <t>TOKO KAMISAH</t>
  </si>
  <si>
    <t>PASAR SOMA</t>
  </si>
  <si>
    <t>011003260501062</t>
  </si>
  <si>
    <t>TOKO UMI</t>
  </si>
  <si>
    <t>011003260600041</t>
  </si>
  <si>
    <t>TOKO JB MRETANI</t>
  </si>
  <si>
    <t>011003260600033</t>
  </si>
  <si>
    <t>TOKO SRC LATIFA</t>
  </si>
  <si>
    <t>KARANGKEMIRI</t>
  </si>
  <si>
    <t>011003260600034</t>
  </si>
  <si>
    <t>TOKO DARYONO</t>
  </si>
  <si>
    <t>KALIREJO</t>
  </si>
  <si>
    <t>011003260500577</t>
  </si>
  <si>
    <t>011003260600031</t>
  </si>
  <si>
    <t>TOKO JP MART</t>
  </si>
  <si>
    <t>011003260600035</t>
  </si>
  <si>
    <t>011003260600042</t>
  </si>
  <si>
    <t>011003260500592</t>
  </si>
  <si>
    <t>SINAR MR</t>
  </si>
  <si>
    <t>JLADRI</t>
  </si>
  <si>
    <t>011003260501041</t>
  </si>
  <si>
    <t>TOKO AZKA</t>
  </si>
  <si>
    <t>KEDUNGPUJI</t>
  </si>
  <si>
    <t>011003260600012</t>
  </si>
  <si>
    <t>TOKO AURA RANGKAH</t>
  </si>
  <si>
    <t>RANGKAH</t>
  </si>
  <si>
    <t>011003260600014</t>
  </si>
  <si>
    <t>TOKO AURA</t>
  </si>
  <si>
    <t>011003260600015</t>
  </si>
  <si>
    <t>011003260600018</t>
  </si>
  <si>
    <t>DESA PASIR RT 2 RW 1</t>
  </si>
  <si>
    <t>011003260600019</t>
  </si>
  <si>
    <t>PASIR</t>
  </si>
  <si>
    <t>011003260600020</t>
  </si>
  <si>
    <t>011003260600021</t>
  </si>
  <si>
    <t>011003260600022</t>
  </si>
  <si>
    <t>TOKO YANTI</t>
  </si>
  <si>
    <t>011003260500603</t>
  </si>
  <si>
    <t>011003260600024</t>
  </si>
  <si>
    <t>011003260600025</t>
  </si>
  <si>
    <t>011003260600030</t>
  </si>
  <si>
    <t>011003260600434</t>
  </si>
  <si>
    <t>011003260600435</t>
  </si>
  <si>
    <t>TOKO WAGIMAN</t>
  </si>
  <si>
    <t>SIDAYU</t>
  </si>
  <si>
    <t>011003260600438</t>
  </si>
  <si>
    <t>TOKO WATI</t>
  </si>
  <si>
    <t>KENTENG</t>
  </si>
  <si>
    <t>011003260600443</t>
  </si>
  <si>
    <t>011003260600448</t>
  </si>
  <si>
    <t>011003260600456</t>
  </si>
  <si>
    <t>TOKO ELOK</t>
  </si>
  <si>
    <t>WALUYO</t>
  </si>
  <si>
    <t>011003260600457</t>
  </si>
  <si>
    <t>TOKO KIOS PATRA</t>
  </si>
  <si>
    <t>011003260600459</t>
  </si>
  <si>
    <t>TOKO SUMARJO</t>
  </si>
  <si>
    <t>011003260600461</t>
  </si>
  <si>
    <t>SENIN 15/06/2026</t>
  </si>
  <si>
    <t>TF 13/6/26</t>
  </si>
  <si>
    <t>011003260600481</t>
  </si>
  <si>
    <t>TOKO SAPUTRA</t>
  </si>
  <si>
    <t xml:space="preserve"> TITIP</t>
  </si>
  <si>
    <t>011003260600047</t>
  </si>
  <si>
    <t>011003260600048</t>
  </si>
  <si>
    <t>011003260600050</t>
  </si>
  <si>
    <t>PASAR TLOGO</t>
  </si>
  <si>
    <t>011003260600052</t>
  </si>
  <si>
    <t>011003260600053</t>
  </si>
  <si>
    <t>011003260600054</t>
  </si>
  <si>
    <t>011003260600055</t>
  </si>
  <si>
    <t>TIRWARNO</t>
  </si>
  <si>
    <t>011003260600004</t>
  </si>
  <si>
    <t>TOKO SARNUN</t>
  </si>
  <si>
    <t>KABUARAN</t>
  </si>
  <si>
    <t>011003260500544</t>
  </si>
  <si>
    <t>011003260500189</t>
  </si>
  <si>
    <t>011003260500798</t>
  </si>
  <si>
    <t>TOKO TASMINO</t>
  </si>
  <si>
    <t>011003260600058</t>
  </si>
  <si>
    <t>011003260600091</t>
  </si>
  <si>
    <t>011003260600057</t>
  </si>
  <si>
    <t>011003260600060</t>
  </si>
  <si>
    <t>011003260600063</t>
  </si>
  <si>
    <t>SAMDURA SAYUR</t>
  </si>
  <si>
    <t>011003260600064</t>
  </si>
  <si>
    <t>011003260500612</t>
  </si>
  <si>
    <t>TOKO SUROJOYO</t>
  </si>
  <si>
    <t>GUNUNGSARI</t>
  </si>
  <si>
    <t>PUSAKA INDAH</t>
  </si>
  <si>
    <t>011003260500625</t>
  </si>
  <si>
    <t>TOKO DAYEM</t>
  </si>
  <si>
    <t>KALIREJA</t>
  </si>
  <si>
    <t>011003260500659</t>
  </si>
  <si>
    <t>011003260500930</t>
  </si>
  <si>
    <t>TOKO BAKSO FAMILY</t>
  </si>
  <si>
    <t>011003260600071</t>
  </si>
  <si>
    <t>011003260600075</t>
  </si>
  <si>
    <t>011003260600076</t>
  </si>
  <si>
    <t>011003260600078</t>
  </si>
  <si>
    <t>011003260600079</t>
  </si>
  <si>
    <t>SINAR DEMANGSARI</t>
  </si>
  <si>
    <t>011003260600082</t>
  </si>
  <si>
    <t>011003260600083</t>
  </si>
  <si>
    <t>011003260600090</t>
  </si>
  <si>
    <t>TOKO WAWAN</t>
  </si>
  <si>
    <t>PASAR CANDIRENGGO</t>
  </si>
  <si>
    <t>011003260600011</t>
  </si>
  <si>
    <t>011003260600023</t>
  </si>
  <si>
    <t>011003260600027</t>
  </si>
  <si>
    <t>011003260600028</t>
  </si>
  <si>
    <t>011003260600046</t>
  </si>
  <si>
    <t>011003260600085</t>
  </si>
  <si>
    <t xml:space="preserve">TOKO OO </t>
  </si>
  <si>
    <t>011003260600087</t>
  </si>
  <si>
    <t>011003260600088</t>
  </si>
  <si>
    <t>011003260600517</t>
  </si>
  <si>
    <t>011003260600521</t>
  </si>
  <si>
    <t>011003260600522</t>
  </si>
  <si>
    <t>TOKO GOTIN</t>
  </si>
  <si>
    <t>011003260600523</t>
  </si>
  <si>
    <t>TOKO WIWI</t>
  </si>
  <si>
    <t>011003260600487</t>
  </si>
  <si>
    <t>TOKO YUNI</t>
  </si>
  <si>
    <t>011003260600488</t>
  </si>
  <si>
    <t>011003260600489</t>
  </si>
  <si>
    <t>TOKO SARJITO</t>
  </si>
  <si>
    <t>011003260600497</t>
  </si>
  <si>
    <t>POJOK/GUNARSO</t>
  </si>
  <si>
    <t>PASAR KARANGGAYAM</t>
  </si>
  <si>
    <t>011003260600504</t>
  </si>
  <si>
    <t>TOKO FAIZAL</t>
  </si>
  <si>
    <t>PAGEBANGAN</t>
  </si>
  <si>
    <t>011003260600506</t>
  </si>
  <si>
    <t>TOKO TITIS JAYA</t>
  </si>
  <si>
    <t>011003260600507</t>
  </si>
  <si>
    <t>SRC PRATAMA</t>
  </si>
  <si>
    <t>011003260600508</t>
  </si>
  <si>
    <t>YOKO AGUS PLASTIK</t>
  </si>
  <si>
    <t>GLONTOR</t>
  </si>
  <si>
    <t>ZEIN(RAJU)</t>
  </si>
  <si>
    <t>011003260600531</t>
  </si>
  <si>
    <t>TF 15/6/26</t>
  </si>
  <si>
    <t>011003260600498</t>
  </si>
  <si>
    <t>TOKO MUKTI 2</t>
  </si>
  <si>
    <t>011003260600490</t>
  </si>
  <si>
    <t>011003260600485</t>
  </si>
  <si>
    <t>TOKO GENDHIS</t>
  </si>
  <si>
    <t>SELASA 16/06/2026</t>
  </si>
  <si>
    <t>011003260500223</t>
  </si>
  <si>
    <t>TOKO ROHANI</t>
  </si>
  <si>
    <t>PASAR KUTO</t>
  </si>
  <si>
    <t>011003260600051</t>
  </si>
  <si>
    <t>TOKO MULYO</t>
  </si>
  <si>
    <t>011003260600093</t>
  </si>
  <si>
    <t>011003260600094</t>
  </si>
  <si>
    <t>011003260600092</t>
  </si>
  <si>
    <t>011003260500651</t>
  </si>
  <si>
    <t>TOKO ERLIN</t>
  </si>
  <si>
    <t>011003260500657</t>
  </si>
  <si>
    <t>KIS WATI BUAH</t>
  </si>
  <si>
    <t>011003260600070</t>
  </si>
  <si>
    <t>TOKO CACA</t>
  </si>
  <si>
    <t>011003260600096</t>
  </si>
  <si>
    <t>011003260600097</t>
  </si>
  <si>
    <t>SRC BLEKATHUK</t>
  </si>
  <si>
    <t>011003260600098</t>
  </si>
  <si>
    <t>011003260600101</t>
  </si>
  <si>
    <t>011003260600102</t>
  </si>
  <si>
    <t>011003260600103</t>
  </si>
  <si>
    <t>011003260600109</t>
  </si>
  <si>
    <t>011003260600110</t>
  </si>
  <si>
    <t>011003260600111</t>
  </si>
  <si>
    <t>011003260600108</t>
  </si>
  <si>
    <t>011003260600112</t>
  </si>
  <si>
    <t>011003260600553</t>
  </si>
  <si>
    <t>011003260600554</t>
  </si>
  <si>
    <t>011003260600557</t>
  </si>
  <si>
    <t>011003260600561</t>
  </si>
  <si>
    <t>ROWOKELE/GOLONGAN</t>
  </si>
  <si>
    <t>011003260600541</t>
  </si>
  <si>
    <t>TOKO LESTARI</t>
  </si>
  <si>
    <t>011003260600546</t>
  </si>
  <si>
    <t>TOKO PUTRI</t>
  </si>
  <si>
    <t>011003260600549</t>
  </si>
  <si>
    <t>RABU 17/06/2026</t>
  </si>
  <si>
    <t>011003260500709</t>
  </si>
  <si>
    <t>TOKO AA MART</t>
  </si>
  <si>
    <t>KARANGKEMBANG</t>
  </si>
  <si>
    <t>011003260500710</t>
  </si>
  <si>
    <t>TOKO BU SUSI</t>
  </si>
  <si>
    <t>011003260500722</t>
  </si>
  <si>
    <t>TOKO DEASRI</t>
  </si>
  <si>
    <t>PASAR POCOWARNO</t>
  </si>
  <si>
    <t>011003260600118</t>
  </si>
  <si>
    <t>011003260600119</t>
  </si>
  <si>
    <t>011003260500243</t>
  </si>
  <si>
    <t>011003260500247</t>
  </si>
  <si>
    <t>011003260500720</t>
  </si>
  <si>
    <t>011003260500658</t>
  </si>
  <si>
    <t>011003260500706</t>
  </si>
  <si>
    <t>TOKO SARIYAH</t>
  </si>
  <si>
    <t>TOKOPONIAH</t>
  </si>
  <si>
    <t>011003260500729</t>
  </si>
  <si>
    <t>TOKO BU AROH</t>
  </si>
  <si>
    <t>011003260600135</t>
  </si>
  <si>
    <t>011003260600139</t>
  </si>
  <si>
    <t>011003260600148</t>
  </si>
  <si>
    <t>TOKO MARISAH</t>
  </si>
  <si>
    <t>011003260600156</t>
  </si>
  <si>
    <t>011003260600104</t>
  </si>
  <si>
    <t>011003260600122</t>
  </si>
  <si>
    <t>011003260600123</t>
  </si>
  <si>
    <t>011003260600126</t>
  </si>
  <si>
    <t>011003260600127</t>
  </si>
  <si>
    <t>011003260600129</t>
  </si>
  <si>
    <t>011003260600131</t>
  </si>
  <si>
    <t>011003260600105</t>
  </si>
  <si>
    <t>011003260600124</t>
  </si>
  <si>
    <t>011003260600132</t>
  </si>
  <si>
    <t>011003260600614</t>
  </si>
  <si>
    <t>011003260600615</t>
  </si>
  <si>
    <t>011003260600617</t>
  </si>
  <si>
    <t>011003260600622</t>
  </si>
  <si>
    <t>TOKO BEJO</t>
  </si>
  <si>
    <t>011003260600623</t>
  </si>
  <si>
    <t>TOKO BJ</t>
  </si>
  <si>
    <t>011003260600584</t>
  </si>
  <si>
    <t>TOKO MELAN</t>
  </si>
  <si>
    <t>011003260600586</t>
  </si>
  <si>
    <t>011003260600591</t>
  </si>
  <si>
    <t>011003260600599</t>
  </si>
  <si>
    <t>011003260600609</t>
  </si>
  <si>
    <t>011003260600582</t>
  </si>
  <si>
    <t>TOKO FAMILY</t>
  </si>
  <si>
    <t>011003260600590</t>
  </si>
  <si>
    <t xml:space="preserve">  </t>
  </si>
  <si>
    <t>KAMIS 18/06/2026</t>
  </si>
  <si>
    <t>011003260500787</t>
  </si>
  <si>
    <t>011003260600162</t>
  </si>
  <si>
    <t>PUTRA BARU SWALAYAN</t>
  </si>
  <si>
    <t>011003260600163</t>
  </si>
  <si>
    <t>011003260600169</t>
  </si>
  <si>
    <t>011003260600201</t>
  </si>
  <si>
    <t>011003260600203</t>
  </si>
  <si>
    <t>011003260600205</t>
  </si>
  <si>
    <t>011003260600134</t>
  </si>
  <si>
    <t>TOKO SAKIMAH</t>
  </si>
  <si>
    <t>011003260600138</t>
  </si>
  <si>
    <t>011003260600141</t>
  </si>
  <si>
    <t>TOKO SALMIASIH</t>
  </si>
  <si>
    <t>011003260600143</t>
  </si>
  <si>
    <t>011003260600145</t>
  </si>
  <si>
    <t>011003260600175</t>
  </si>
  <si>
    <t>011003260600178</t>
  </si>
  <si>
    <t>011003260501005</t>
  </si>
  <si>
    <t>MIE AYAM BAROKAH</t>
  </si>
  <si>
    <t>SRUWENG</t>
  </si>
  <si>
    <t>011003260600153</t>
  </si>
  <si>
    <t>011003260600157</t>
  </si>
  <si>
    <t>011003260600181</t>
  </si>
  <si>
    <t>011003260600184</t>
  </si>
  <si>
    <t>011003260600188</t>
  </si>
  <si>
    <t>011003260600189</t>
  </si>
  <si>
    <t>011003260600191</t>
  </si>
  <si>
    <t>011003260600192</t>
  </si>
  <si>
    <t>011003260600193</t>
  </si>
  <si>
    <t>011003260500781</t>
  </si>
  <si>
    <t>011003260600128</t>
  </si>
  <si>
    <t>011003260600195</t>
  </si>
  <si>
    <t>011003260600196</t>
  </si>
  <si>
    <t>011003260600199</t>
  </si>
  <si>
    <t>011003260600628</t>
  </si>
  <si>
    <t>TOKO ADRI</t>
  </si>
  <si>
    <t>WONOHARJO</t>
  </si>
  <si>
    <t>011003260600630</t>
  </si>
  <si>
    <t>TOKO MISLAM</t>
  </si>
  <si>
    <t>011003260600631</t>
  </si>
  <si>
    <t>011003260600635</t>
  </si>
  <si>
    <t>TOKO LASIKEM</t>
  </si>
  <si>
    <t>GUNUNGMUJIL</t>
  </si>
  <si>
    <t>011003260600663</t>
  </si>
  <si>
    <t>011003260600665</t>
  </si>
  <si>
    <t>011003260600666</t>
  </si>
  <si>
    <t>011003260600680</t>
  </si>
  <si>
    <t>AL BAROKAH</t>
  </si>
  <si>
    <t>011003260600640</t>
  </si>
  <si>
    <t>011003260600648</t>
  </si>
  <si>
    <t>011003260600650</t>
  </si>
  <si>
    <t>KLAPAGADA 2/7</t>
  </si>
  <si>
    <t>011003260600652</t>
  </si>
  <si>
    <t>TOKO KUSNANTO</t>
  </si>
  <si>
    <t>MBODEH</t>
  </si>
  <si>
    <t>011003260600654</t>
  </si>
  <si>
    <t>011003260600651</t>
  </si>
  <si>
    <t>01100326060638</t>
  </si>
  <si>
    <t>JUMAT 19/06/2026</t>
  </si>
  <si>
    <t>011003260500413</t>
  </si>
  <si>
    <t>TOKO RAJU</t>
  </si>
  <si>
    <t>011003260500716</t>
  </si>
  <si>
    <t>TOKO EKI</t>
  </si>
  <si>
    <t>011003260500784</t>
  </si>
  <si>
    <t>TOKO RIZKY</t>
  </si>
  <si>
    <t>011003260600164</t>
  </si>
  <si>
    <t>PASA TENGOK</t>
  </si>
  <si>
    <t>BENER KULON 2/5</t>
  </si>
  <si>
    <t>011003260600208</t>
  </si>
  <si>
    <t>011003260600209</t>
  </si>
  <si>
    <t>011003260600210</t>
  </si>
  <si>
    <t>011003260600224</t>
  </si>
  <si>
    <t>TOK SILMI</t>
  </si>
  <si>
    <t>011003260500796</t>
  </si>
  <si>
    <t>011003260600200</t>
  </si>
  <si>
    <t>011003260600206</t>
  </si>
  <si>
    <t>011003260500805</t>
  </si>
  <si>
    <t>TOKO BAD SAYUR</t>
  </si>
  <si>
    <t>011003260600171</t>
  </si>
  <si>
    <t>011003260600230</t>
  </si>
  <si>
    <t>011003260600231</t>
  </si>
  <si>
    <t>011003260600180</t>
  </si>
  <si>
    <t>011003260600232</t>
  </si>
  <si>
    <t>011003260600233</t>
  </si>
  <si>
    <t>011003260600236</t>
  </si>
  <si>
    <t>011003260600239</t>
  </si>
  <si>
    <t>011003260600212</t>
  </si>
  <si>
    <t>011003260600214</t>
  </si>
  <si>
    <t>011003260600215</t>
  </si>
  <si>
    <t>011003260600216</t>
  </si>
  <si>
    <t>011003260600217</t>
  </si>
  <si>
    <t>011003260500819</t>
  </si>
  <si>
    <t>TOKO SYUKUR</t>
  </si>
  <si>
    <t>011003260600197</t>
  </si>
  <si>
    <t>011003260600222</t>
  </si>
  <si>
    <t>TOKO AL KARIM</t>
  </si>
  <si>
    <t>011003260600223</t>
  </si>
  <si>
    <t>011003260600726</t>
  </si>
  <si>
    <t>TOKO LASIO</t>
  </si>
  <si>
    <t>011003260600682</t>
  </si>
  <si>
    <t>TOKO ASIFA</t>
  </si>
  <si>
    <t>011003260600685</t>
  </si>
  <si>
    <t>TOKO TANJUNG SENO</t>
  </si>
  <si>
    <t>011003260600686</t>
  </si>
  <si>
    <t>011003260600688</t>
  </si>
  <si>
    <t>TOKO KARSIMIN</t>
  </si>
  <si>
    <t>011003260600690</t>
  </si>
  <si>
    <t>TOKO SUWITO</t>
  </si>
  <si>
    <t>011003260600694</t>
  </si>
  <si>
    <t>011003260600697</t>
  </si>
  <si>
    <t>011003260600733</t>
  </si>
  <si>
    <t>011003260600707</t>
  </si>
  <si>
    <t>011003260600735</t>
  </si>
  <si>
    <t>(POT RETUR 24,000) LUNAS</t>
  </si>
  <si>
    <t>SABTU 20/06/2026</t>
  </si>
  <si>
    <t>011003260600251</t>
  </si>
  <si>
    <t>011003260600254</t>
  </si>
  <si>
    <t>011003260500833</t>
  </si>
  <si>
    <t>011003260600226</t>
  </si>
  <si>
    <t>011003260600250</t>
  </si>
  <si>
    <t>011003260600255</t>
  </si>
  <si>
    <t>011003260600269</t>
  </si>
  <si>
    <t>011003260500840</t>
  </si>
  <si>
    <t>TOKO PUJI</t>
  </si>
  <si>
    <t>011003260500882</t>
  </si>
  <si>
    <t>011003260500883</t>
  </si>
  <si>
    <t>GSSP PRASETYO</t>
  </si>
  <si>
    <t>011003260600241</t>
  </si>
  <si>
    <t>011003260600242</t>
  </si>
  <si>
    <t>011003260500889</t>
  </si>
  <si>
    <t>011003260600246</t>
  </si>
  <si>
    <t>011003260600266</t>
  </si>
  <si>
    <t>ANISA(BASUKI)</t>
  </si>
  <si>
    <t>011003260600213</t>
  </si>
  <si>
    <t>011003260600258</t>
  </si>
  <si>
    <t>TOKO KIKI</t>
  </si>
  <si>
    <t>011003260600259</t>
  </si>
  <si>
    <t>011003260600260</t>
  </si>
  <si>
    <t>011003260600262</t>
  </si>
  <si>
    <t>011003260600263</t>
  </si>
  <si>
    <t>011003260600264</t>
  </si>
  <si>
    <t>011003260600265</t>
  </si>
  <si>
    <t>011003260600385</t>
  </si>
  <si>
    <t>TOKO KARSONO</t>
  </si>
  <si>
    <t>011003260600741</t>
  </si>
  <si>
    <t>011003260600743</t>
  </si>
  <si>
    <t>011003260600771</t>
  </si>
  <si>
    <t>011003260600772</t>
  </si>
  <si>
    <t>011003260600753</t>
  </si>
  <si>
    <t>TOKO DINDA</t>
  </si>
  <si>
    <t>011003260600761</t>
  </si>
  <si>
    <t>011003260600768</t>
  </si>
  <si>
    <t>PAK YADI</t>
  </si>
  <si>
    <t>011003260600780</t>
  </si>
  <si>
    <t>PAK JURI</t>
  </si>
  <si>
    <t>011003260600862</t>
  </si>
  <si>
    <t>TOKO FAJAR</t>
  </si>
  <si>
    <t>SENIN 22/06/2026</t>
  </si>
  <si>
    <t>011003260500914</t>
  </si>
  <si>
    <t>BILQIS MART</t>
  </si>
  <si>
    <t>ROWOREJO</t>
  </si>
  <si>
    <t>011003260600116</t>
  </si>
  <si>
    <t>TOKO SUMARSONO</t>
  </si>
  <si>
    <t>DEPOKREJO 2/2</t>
  </si>
  <si>
    <t>011003260600274</t>
  </si>
  <si>
    <t>011003260600275</t>
  </si>
  <si>
    <t>TOKO NIKMATIN</t>
  </si>
  <si>
    <t>011003260600276</t>
  </si>
  <si>
    <t>TOK PUTRI LESTARI</t>
  </si>
  <si>
    <t>011003260600277</t>
  </si>
  <si>
    <t>011003260600278</t>
  </si>
  <si>
    <t>011003260500934</t>
  </si>
  <si>
    <t>011003260600280</t>
  </si>
  <si>
    <t>011003260600281</t>
  </si>
  <si>
    <t>011003260500845</t>
  </si>
  <si>
    <t>TOKO TINEM</t>
  </si>
  <si>
    <t>011003260500846</t>
  </si>
  <si>
    <t>011003260600285</t>
  </si>
  <si>
    <t>011003260600286</t>
  </si>
  <si>
    <t>TOKO TANTI SARI</t>
  </si>
  <si>
    <t>PURWOSARI</t>
  </si>
  <si>
    <t>011003260600288</t>
  </si>
  <si>
    <t>011003260600290</t>
  </si>
  <si>
    <t>011003260500887</t>
  </si>
  <si>
    <t>TOKO DENOK</t>
  </si>
  <si>
    <t>GG BOGOWONTO WERO</t>
  </si>
  <si>
    <t>011003260500888</t>
  </si>
  <si>
    <t xml:space="preserve">TOKO SUDARTO </t>
  </si>
  <si>
    <t>011003260600234</t>
  </si>
  <si>
    <t>011003260600289</t>
  </si>
  <si>
    <t>011003260600291</t>
  </si>
  <si>
    <t>011003260600294</t>
  </si>
  <si>
    <t>011003260600295</t>
  </si>
  <si>
    <t>011003260600296</t>
  </si>
  <si>
    <t>011003260600297</t>
  </si>
  <si>
    <t>011003260600302</t>
  </si>
  <si>
    <t>011003260600303</t>
  </si>
  <si>
    <t>TOKO MUKTI</t>
  </si>
  <si>
    <t>011003260600305</t>
  </si>
  <si>
    <t>011003260600306</t>
  </si>
  <si>
    <t>011003260600307</t>
  </si>
  <si>
    <t>JL PUSKESMAS</t>
  </si>
  <si>
    <t>011003260600311</t>
  </si>
  <si>
    <t>011003260600783</t>
  </si>
  <si>
    <t>011003260600786</t>
  </si>
  <si>
    <t>011003260600787</t>
  </si>
  <si>
    <t>011003260600813</t>
  </si>
  <si>
    <t>011003260600814</t>
  </si>
  <si>
    <t>ZEIN (HAFID)</t>
  </si>
  <si>
    <t>SELASA 23/06/2026</t>
  </si>
  <si>
    <t>011003260600320</t>
  </si>
  <si>
    <t>011003260600315</t>
  </si>
  <si>
    <t>011003260500962</t>
  </si>
  <si>
    <t>BU WENI</t>
  </si>
  <si>
    <t>011003260500832</t>
  </si>
  <si>
    <t xml:space="preserve">JADI BARU </t>
  </si>
  <si>
    <t>011003260600313</t>
  </si>
  <si>
    <t>TOKO H  NUR KHOLIS</t>
  </si>
  <si>
    <t>011003260600314</t>
  </si>
  <si>
    <t>011003260600316</t>
  </si>
  <si>
    <t>011003260600317</t>
  </si>
  <si>
    <t>011003260500921</t>
  </si>
  <si>
    <t>TOKO JAYA WIJAYA</t>
  </si>
  <si>
    <t>011003260500940</t>
  </si>
  <si>
    <t>011003260500996</t>
  </si>
  <si>
    <t>TOKO AZAHRAH</t>
  </si>
  <si>
    <t>DOROWATI</t>
  </si>
  <si>
    <t>011003260600323</t>
  </si>
  <si>
    <t>011003260600324</t>
  </si>
  <si>
    <t>011003260600327</t>
  </si>
  <si>
    <t>011003260600350</t>
  </si>
  <si>
    <t>TOKO SLAMET</t>
  </si>
  <si>
    <t>011003260600351</t>
  </si>
  <si>
    <t>011003260500859</t>
  </si>
  <si>
    <t>011003260600329</t>
  </si>
  <si>
    <t>TOKO SAODAH</t>
  </si>
  <si>
    <t>011003260600331</t>
  </si>
  <si>
    <t>011003260600333</t>
  </si>
  <si>
    <t>011003260600336</t>
  </si>
  <si>
    <t>PASAR COKOLAN (MELES)</t>
  </si>
  <si>
    <t>011003260600337</t>
  </si>
  <si>
    <t>SOFI</t>
  </si>
  <si>
    <t>COKOLAN MELES</t>
  </si>
  <si>
    <t>011003260600338</t>
  </si>
  <si>
    <t>ARJOSARI</t>
  </si>
  <si>
    <t>011003260600340</t>
  </si>
  <si>
    <t>011003260600346</t>
  </si>
  <si>
    <t>MUSTIKA CELL</t>
  </si>
  <si>
    <t>011003260600347</t>
  </si>
  <si>
    <t>011003260600342</t>
  </si>
  <si>
    <t>011003260600348</t>
  </si>
  <si>
    <t>011003260600352</t>
  </si>
  <si>
    <t>011001260600006</t>
  </si>
  <si>
    <t>011001260600007</t>
  </si>
  <si>
    <t>011001260600008</t>
  </si>
  <si>
    <t>TOKO SUYATNO</t>
  </si>
  <si>
    <t>011001260600009</t>
  </si>
  <si>
    <t>0110012606000011</t>
  </si>
  <si>
    <t>011001260600026</t>
  </si>
  <si>
    <t>011003260600816</t>
  </si>
  <si>
    <t>TOKO HAFID</t>
  </si>
  <si>
    <t>011001260600014</t>
  </si>
  <si>
    <t>011001260600015</t>
  </si>
  <si>
    <t>TOKO MASRUR</t>
  </si>
  <si>
    <t>011001260600016</t>
  </si>
  <si>
    <t>TOKO NETRAL</t>
  </si>
  <si>
    <t>011001260600020</t>
  </si>
  <si>
    <t>011003260500759</t>
  </si>
  <si>
    <t>TF 23/6/26</t>
  </si>
  <si>
    <t>RABU 24/06/2026</t>
  </si>
  <si>
    <t>011003260500903</t>
  </si>
  <si>
    <t>TOKO SUHARTI</t>
  </si>
  <si>
    <t>011003260600353</t>
  </si>
  <si>
    <t>011003260600355</t>
  </si>
  <si>
    <t>011003260600357</t>
  </si>
  <si>
    <t>011003260600358</t>
  </si>
  <si>
    <t>AMBALKEREK</t>
  </si>
  <si>
    <t>011003260600360</t>
  </si>
  <si>
    <t>TOKO MANGUNAH</t>
  </si>
  <si>
    <t>011003260600362</t>
  </si>
  <si>
    <t>011003260600363</t>
  </si>
  <si>
    <t>011003260500933</t>
  </si>
  <si>
    <t>011003260600365</t>
  </si>
  <si>
    <t>011003260600366</t>
  </si>
  <si>
    <t>011003260600367</t>
  </si>
  <si>
    <t>011003260600368</t>
  </si>
  <si>
    <t>011003260600370</t>
  </si>
  <si>
    <t>011003260600374</t>
  </si>
  <si>
    <t>011003260500993</t>
  </si>
  <si>
    <t>TOKO KANZA</t>
  </si>
  <si>
    <t>011003260600387</t>
  </si>
  <si>
    <t>011003260600388</t>
  </si>
  <si>
    <t>011003260600389</t>
  </si>
  <si>
    <t>011003260501001</t>
  </si>
  <si>
    <t>011003260501004</t>
  </si>
  <si>
    <t>011003260600394</t>
  </si>
  <si>
    <t>011003260600398</t>
  </si>
  <si>
    <t>011003260600376</t>
  </si>
  <si>
    <t>011003260600377</t>
  </si>
  <si>
    <t>011003260600378</t>
  </si>
  <si>
    <t>011003260600379</t>
  </si>
  <si>
    <t>011003260600383</t>
  </si>
  <si>
    <t>011003260600838</t>
  </si>
  <si>
    <t>011003260600840</t>
  </si>
  <si>
    <t>011003260600841</t>
  </si>
  <si>
    <t>SRC DILA</t>
  </si>
  <si>
    <t>011003260600844</t>
  </si>
  <si>
    <t>011003260600845</t>
  </si>
  <si>
    <t>011003260600848</t>
  </si>
  <si>
    <t>011003260600818</t>
  </si>
  <si>
    <t>TOKO EMI</t>
  </si>
  <si>
    <t>011003260600833</t>
  </si>
  <si>
    <t>TOKO PODOLUHUR</t>
  </si>
  <si>
    <t>011003260600834</t>
  </si>
  <si>
    <t>011003260600850</t>
  </si>
  <si>
    <t>TOKO PAK HASAN</t>
  </si>
  <si>
    <t>CASH DROPPING</t>
  </si>
  <si>
    <t>KAMIS 25/06/2026</t>
  </si>
  <si>
    <t>011003260500510</t>
  </si>
  <si>
    <t>TOKO SRI</t>
  </si>
  <si>
    <t>011003260500516</t>
  </si>
  <si>
    <t>011003260500932</t>
  </si>
  <si>
    <t>TOKO JAHIR</t>
  </si>
  <si>
    <t>011003260600361</t>
  </si>
  <si>
    <t>011003260500511</t>
  </si>
  <si>
    <t>011003260600282</t>
  </si>
  <si>
    <t>011003260501018</t>
  </si>
  <si>
    <t>011003260600386</t>
  </si>
  <si>
    <t>011003260600403</t>
  </si>
  <si>
    <t>011003260600404</t>
  </si>
  <si>
    <t>TOKO ESTI</t>
  </si>
  <si>
    <t>011003260600405</t>
  </si>
  <si>
    <t>011003260600406</t>
  </si>
  <si>
    <t>TOKO SASA</t>
  </si>
  <si>
    <t>011003260600407</t>
  </si>
  <si>
    <t>011003260600408</t>
  </si>
  <si>
    <t>011003260600410</t>
  </si>
  <si>
    <t>011003260600413</t>
  </si>
  <si>
    <t>SUMBER BERKAH</t>
  </si>
  <si>
    <t>011003260600415</t>
  </si>
  <si>
    <t>011003260600417</t>
  </si>
  <si>
    <t>TOKO DARMAN</t>
  </si>
  <si>
    <t>011003260600418</t>
  </si>
  <si>
    <t>011003260501026</t>
  </si>
  <si>
    <t>011003260600375</t>
  </si>
  <si>
    <t>011003260600423</t>
  </si>
  <si>
    <t>011003260600426</t>
  </si>
  <si>
    <t>011003260600428</t>
  </si>
  <si>
    <t>011003260600380</t>
  </si>
  <si>
    <t>011003260600429</t>
  </si>
  <si>
    <t>011003260600867</t>
  </si>
  <si>
    <t>011003260600873</t>
  </si>
  <si>
    <t>011003260600877</t>
  </si>
  <si>
    <t>TOKO SULAIMAN</t>
  </si>
  <si>
    <t>011003260600884</t>
  </si>
  <si>
    <t>TOKO ANTO/WINDI</t>
  </si>
  <si>
    <t>011003260600857</t>
  </si>
  <si>
    <t>TOKO TRI ERWIN</t>
  </si>
  <si>
    <t>011003260600861</t>
  </si>
  <si>
    <t>011003260600871</t>
  </si>
  <si>
    <t>TF 24/6/26</t>
  </si>
  <si>
    <t>UANG MASUK PENJUALAN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</si>
</sst>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Rp&quot;\ * #,##0_);_(&quot;Rp&quot;\ * \(#,##0\);_(&quot;Rp&quot;\ * &quot;-&quot;_);_(@_)"/>
    <numFmt numFmtId="41" formatCode="_(* #,##0_);_(* \(#,##0\);_(* &quot;-&quot;_);_(@_)"/>
    <numFmt numFmtId="164" formatCode="_-* #,##0_-;\-* #,##0_-;_-* &quot;-&quot;??_-;_-@_-"/>
    <numFmt numFmtId="165" formatCode="_-[$Rp-3809]* #,##0_-;\-[$Rp-3809]* #,##0_-;_-[$Rp-3809]* &quot;-&quot;??_-;_-@_-"/>
    <numFmt numFmtId="166" formatCode="_-[$Rp-3809]* #,##0.00_-;\-[$Rp-3809]* #,##0.00_-;_-[$Rp-3809]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3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41" fontId="19" fillId="0" borderId="0" applyFont="0" applyFill="0" applyBorder="0" applyAlignment="0" applyProtection="0"/>
  </cellStyleXfs>
  <cellXfs count="2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0" borderId="4" xfId="0" applyFont="1" applyBorder="1"/>
    <xf numFmtId="0" fontId="4" fillId="5" borderId="10" xfId="0" quotePrefix="1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5" borderId="10" xfId="0" applyFont="1" applyFill="1" applyBorder="1" applyAlignment="1">
      <alignment vertical="center"/>
    </xf>
    <xf numFmtId="14" fontId="4" fillId="5" borderId="10" xfId="0" applyNumberFormat="1" applyFont="1" applyFill="1" applyBorder="1" applyAlignment="1">
      <alignment horizontal="left" vertical="center"/>
    </xf>
    <xf numFmtId="42" fontId="4" fillId="5" borderId="11" xfId="1" applyNumberFormat="1" applyFont="1" applyFill="1" applyBorder="1" applyAlignment="1">
      <alignment horizontal="left" vertical="center"/>
    </xf>
    <xf numFmtId="42" fontId="4" fillId="3" borderId="4" xfId="1" applyNumberFormat="1" applyFont="1" applyFill="1" applyBorder="1" applyAlignment="1">
      <alignment horizontal="left" vertical="center"/>
    </xf>
    <xf numFmtId="165" fontId="4" fillId="3" borderId="4" xfId="0" applyNumberFormat="1" applyFont="1" applyFill="1" applyBorder="1"/>
    <xf numFmtId="165" fontId="0" fillId="4" borderId="8" xfId="0" applyNumberFormat="1" applyFill="1" applyBorder="1"/>
    <xf numFmtId="165" fontId="0" fillId="0" borderId="8" xfId="0" applyNumberFormat="1" applyBorder="1"/>
    <xf numFmtId="165" fontId="0" fillId="0" borderId="4" xfId="0" applyNumberFormat="1" applyBorder="1"/>
    <xf numFmtId="42" fontId="4" fillId="5" borderId="12" xfId="1" applyNumberFormat="1" applyFont="1" applyFill="1" applyBorder="1" applyAlignment="1">
      <alignment horizontal="left" vertical="center"/>
    </xf>
    <xf numFmtId="165" fontId="0" fillId="4" borderId="4" xfId="0" applyNumberFormat="1" applyFill="1" applyBorder="1"/>
    <xf numFmtId="42" fontId="2" fillId="3" borderId="7" xfId="0" applyNumberFormat="1" applyFont="1" applyFill="1" applyBorder="1" applyAlignment="1">
      <alignment horizontal="center"/>
    </xf>
    <xf numFmtId="165" fontId="2" fillId="3" borderId="4" xfId="0" applyNumberFormat="1" applyFont="1" applyFill="1" applyBorder="1"/>
    <xf numFmtId="165" fontId="2" fillId="4" borderId="4" xfId="0" applyNumberFormat="1" applyFont="1" applyFill="1" applyBorder="1"/>
    <xf numFmtId="165" fontId="2" fillId="4" borderId="7" xfId="0" applyNumberFormat="1" applyFont="1" applyFill="1" applyBorder="1"/>
    <xf numFmtId="0" fontId="2" fillId="0" borderId="7" xfId="0" applyFont="1" applyBorder="1"/>
    <xf numFmtId="165" fontId="2" fillId="2" borderId="4" xfId="0" applyNumberFormat="1" applyFont="1" applyFill="1" applyBorder="1"/>
    <xf numFmtId="0" fontId="6" fillId="0" borderId="4" xfId="0" applyFont="1" applyBorder="1" applyAlignment="1">
      <alignment horizontal="left"/>
    </xf>
    <xf numFmtId="0" fontId="4" fillId="0" borderId="10" xfId="0" applyFont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14" fontId="4" fillId="5" borderId="10" xfId="0" applyNumberFormat="1" applyFont="1" applyFill="1" applyBorder="1" applyAlignment="1">
      <alignment horizontal="center" vertical="center"/>
    </xf>
    <xf numFmtId="14" fontId="4" fillId="5" borderId="12" xfId="0" applyNumberFormat="1" applyFont="1" applyFill="1" applyBorder="1" applyAlignment="1">
      <alignment horizontal="center" vertical="center"/>
    </xf>
    <xf numFmtId="42" fontId="4" fillId="5" borderId="4" xfId="1" applyNumberFormat="1" applyFont="1" applyFill="1" applyBorder="1" applyAlignment="1">
      <alignment horizontal="center" vertical="center"/>
    </xf>
    <xf numFmtId="42" fontId="4" fillId="3" borderId="4" xfId="1" applyNumberFormat="1" applyFont="1" applyFill="1" applyBorder="1" applyAlignment="1">
      <alignment horizontal="center" vertical="center"/>
    </xf>
    <xf numFmtId="42" fontId="2" fillId="3" borderId="4" xfId="0" applyNumberFormat="1" applyFont="1" applyFill="1" applyBorder="1" applyAlignment="1">
      <alignment horizontal="center"/>
    </xf>
    <xf numFmtId="0" fontId="2" fillId="0" borderId="4" xfId="0" applyFont="1" applyBorder="1"/>
    <xf numFmtId="165" fontId="2" fillId="2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4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center"/>
    </xf>
    <xf numFmtId="42" fontId="0" fillId="0" borderId="4" xfId="0" applyNumberFormat="1" applyBorder="1" applyAlignment="1">
      <alignment horizontal="center"/>
    </xf>
    <xf numFmtId="42" fontId="0" fillId="3" borderId="4" xfId="0" applyNumberFormat="1" applyFill="1" applyBorder="1" applyAlignment="1">
      <alignment horizontal="center"/>
    </xf>
    <xf numFmtId="42" fontId="7" fillId="3" borderId="4" xfId="0" applyNumberFormat="1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42" fontId="7" fillId="6" borderId="4" xfId="0" applyNumberFormat="1" applyFont="1" applyFill="1" applyBorder="1" applyAlignment="1">
      <alignment horizontal="center"/>
    </xf>
    <xf numFmtId="42" fontId="2" fillId="3" borderId="16" xfId="0" applyNumberFormat="1" applyFont="1" applyFill="1" applyBorder="1" applyAlignment="1">
      <alignment horizontal="center"/>
    </xf>
    <xf numFmtId="42" fontId="2" fillId="3" borderId="8" xfId="0" applyNumberFormat="1" applyFont="1" applyFill="1" applyBorder="1"/>
    <xf numFmtId="42" fontId="2" fillId="4" borderId="8" xfId="0" applyNumberFormat="1" applyFont="1" applyFill="1" applyBorder="1"/>
    <xf numFmtId="0" fontId="2" fillId="0" borderId="8" xfId="0" applyFont="1" applyBorder="1"/>
    <xf numFmtId="42" fontId="2" fillId="2" borderId="1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165" fontId="2" fillId="3" borderId="4" xfId="0" applyNumberFormat="1" applyFont="1" applyFill="1" applyBorder="1" applyAlignment="1">
      <alignment horizontal="center"/>
    </xf>
    <xf numFmtId="42" fontId="2" fillId="4" borderId="4" xfId="0" applyNumberFormat="1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4" xfId="0" quotePrefix="1" applyFont="1" applyBorder="1" applyAlignment="1">
      <alignment horizontal="left"/>
    </xf>
    <xf numFmtId="0" fontId="4" fillId="0" borderId="4" xfId="0" applyFont="1" applyBorder="1"/>
    <xf numFmtId="14" fontId="4" fillId="0" borderId="4" xfId="0" applyNumberFormat="1" applyFont="1" applyBorder="1" applyAlignment="1">
      <alignment horizontal="center" vertical="center"/>
    </xf>
    <xf numFmtId="42" fontId="4" fillId="0" borderId="4" xfId="1" applyNumberFormat="1" applyFont="1" applyFill="1" applyBorder="1" applyAlignment="1">
      <alignment horizontal="center" vertical="center"/>
    </xf>
    <xf numFmtId="42" fontId="4" fillId="3" borderId="4" xfId="0" applyNumberFormat="1" applyFont="1" applyFill="1" applyBorder="1"/>
    <xf numFmtId="0" fontId="0" fillId="4" borderId="4" xfId="0" applyFill="1" applyBorder="1"/>
    <xf numFmtId="0" fontId="0" fillId="0" borderId="4" xfId="0" applyBorder="1"/>
    <xf numFmtId="0" fontId="0" fillId="0" borderId="4" xfId="0" quotePrefix="1" applyBorder="1" applyAlignment="1">
      <alignment horizontal="left"/>
    </xf>
    <xf numFmtId="14" fontId="0" fillId="0" borderId="4" xfId="0" applyNumberFormat="1" applyBorder="1"/>
    <xf numFmtId="165" fontId="0" fillId="3" borderId="4" xfId="0" applyNumberFormat="1" applyFill="1" applyBorder="1"/>
    <xf numFmtId="42" fontId="2" fillId="3" borderId="4" xfId="0" applyNumberFormat="1" applyFont="1" applyFill="1" applyBorder="1"/>
    <xf numFmtId="42" fontId="2" fillId="2" borderId="7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42" fontId="2" fillId="2" borderId="6" xfId="0" applyNumberFormat="1" applyFont="1" applyFill="1" applyBorder="1" applyAlignment="1">
      <alignment horizontal="center"/>
    </xf>
    <xf numFmtId="42" fontId="2" fillId="0" borderId="0" xfId="0" applyNumberFormat="1" applyFont="1"/>
    <xf numFmtId="0" fontId="2" fillId="0" borderId="0" xfId="0" applyFont="1"/>
    <xf numFmtId="42" fontId="2" fillId="0" borderId="0" xfId="0" applyNumberFormat="1" applyFont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66" fontId="9" fillId="0" borderId="0" xfId="0" applyNumberFormat="1" applyFont="1"/>
    <xf numFmtId="165" fontId="10" fillId="2" borderId="4" xfId="0" applyNumberFormat="1" applyFont="1" applyFill="1" applyBorder="1"/>
    <xf numFmtId="165" fontId="10" fillId="0" borderId="0" xfId="0" applyNumberFormat="1" applyFont="1"/>
    <xf numFmtId="165" fontId="10" fillId="0" borderId="0" xfId="0" applyNumberFormat="1" applyFont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wrapText="1"/>
    </xf>
    <xf numFmtId="0" fontId="13" fillId="3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2" fillId="0" borderId="18" xfId="0" applyFont="1" applyBorder="1"/>
    <xf numFmtId="0" fontId="11" fillId="5" borderId="18" xfId="0" quotePrefix="1" applyFont="1" applyFill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1" fillId="5" borderId="18" xfId="0" applyFont="1" applyFill="1" applyBorder="1" applyAlignment="1">
      <alignment vertical="center"/>
    </xf>
    <xf numFmtId="14" fontId="11" fillId="5" borderId="18" xfId="0" applyNumberFormat="1" applyFont="1" applyFill="1" applyBorder="1" applyAlignment="1">
      <alignment horizontal="left" vertical="center"/>
    </xf>
    <xf numFmtId="42" fontId="11" fillId="5" borderId="18" xfId="1" applyNumberFormat="1" applyFont="1" applyFill="1" applyBorder="1" applyAlignment="1">
      <alignment horizontal="left" vertical="center"/>
    </xf>
    <xf numFmtId="42" fontId="11" fillId="3" borderId="18" xfId="1" applyNumberFormat="1" applyFont="1" applyFill="1" applyBorder="1" applyAlignment="1">
      <alignment horizontal="left" vertical="center"/>
    </xf>
    <xf numFmtId="165" fontId="11" fillId="3" borderId="18" xfId="0" applyNumberFormat="1" applyFont="1" applyFill="1" applyBorder="1"/>
    <xf numFmtId="165" fontId="11" fillId="4" borderId="18" xfId="0" applyNumberFormat="1" applyFont="1" applyFill="1" applyBorder="1"/>
    <xf numFmtId="165" fontId="11" fillId="0" borderId="18" xfId="0" applyNumberFormat="1" applyFont="1" applyBorder="1"/>
    <xf numFmtId="42" fontId="13" fillId="3" borderId="18" xfId="0" applyNumberFormat="1" applyFont="1" applyFill="1" applyBorder="1" applyAlignment="1">
      <alignment horizontal="center"/>
    </xf>
    <xf numFmtId="165" fontId="13" fillId="3" borderId="18" xfId="0" applyNumberFormat="1" applyFont="1" applyFill="1" applyBorder="1"/>
    <xf numFmtId="165" fontId="13" fillId="4" borderId="18" xfId="0" applyNumberFormat="1" applyFont="1" applyFill="1" applyBorder="1"/>
    <xf numFmtId="0" fontId="13" fillId="0" borderId="18" xfId="0" applyFont="1" applyBorder="1"/>
    <xf numFmtId="165" fontId="13" fillId="2" borderId="18" xfId="0" applyNumberFormat="1" applyFont="1" applyFill="1" applyBorder="1"/>
    <xf numFmtId="0" fontId="12" fillId="0" borderId="18" xfId="0" applyFont="1" applyBorder="1" applyAlignment="1">
      <alignment horizontal="left"/>
    </xf>
    <xf numFmtId="0" fontId="11" fillId="0" borderId="18" xfId="0" applyFont="1" applyBorder="1" applyAlignment="1">
      <alignment vertical="center"/>
    </xf>
    <xf numFmtId="0" fontId="11" fillId="5" borderId="18" xfId="0" applyFont="1" applyFill="1" applyBorder="1" applyAlignment="1">
      <alignment horizontal="left" vertical="center"/>
    </xf>
    <xf numFmtId="14" fontId="11" fillId="5" borderId="18" xfId="0" applyNumberFormat="1" applyFont="1" applyFill="1" applyBorder="1" applyAlignment="1">
      <alignment horizontal="center" vertical="center"/>
    </xf>
    <xf numFmtId="42" fontId="11" fillId="5" borderId="18" xfId="1" applyNumberFormat="1" applyFont="1" applyFill="1" applyBorder="1" applyAlignment="1">
      <alignment horizontal="center" vertical="center"/>
    </xf>
    <xf numFmtId="42" fontId="11" fillId="3" borderId="18" xfId="1" applyNumberFormat="1" applyFont="1" applyFill="1" applyBorder="1" applyAlignment="1">
      <alignment horizontal="center" vertical="center"/>
    </xf>
    <xf numFmtId="165" fontId="13" fillId="2" borderId="18" xfId="0" applyNumberFormat="1" applyFont="1" applyFill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4" fontId="11" fillId="0" borderId="18" xfId="0" applyNumberFormat="1" applyFont="1" applyBorder="1" applyAlignment="1">
      <alignment horizontal="center"/>
    </xf>
    <xf numFmtId="42" fontId="11" fillId="0" borderId="18" xfId="0" applyNumberFormat="1" applyFont="1" applyBorder="1" applyAlignment="1">
      <alignment horizontal="center"/>
    </xf>
    <xf numFmtId="42" fontId="11" fillId="3" borderId="18" xfId="0" applyNumberFormat="1" applyFont="1" applyFill="1" applyBorder="1" applyAlignment="1">
      <alignment horizontal="center"/>
    </xf>
    <xf numFmtId="42" fontId="15" fillId="3" borderId="18" xfId="0" applyNumberFormat="1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42" fontId="15" fillId="6" borderId="18" xfId="0" applyNumberFormat="1" applyFont="1" applyFill="1" applyBorder="1" applyAlignment="1">
      <alignment horizontal="center"/>
    </xf>
    <xf numFmtId="42" fontId="13" fillId="3" borderId="18" xfId="0" applyNumberFormat="1" applyFont="1" applyFill="1" applyBorder="1"/>
    <xf numFmtId="42" fontId="13" fillId="4" borderId="18" xfId="0" applyNumberFormat="1" applyFont="1" applyFill="1" applyBorder="1"/>
    <xf numFmtId="42" fontId="13" fillId="2" borderId="18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166" fontId="11" fillId="0" borderId="0" xfId="0" applyNumberFormat="1" applyFont="1"/>
    <xf numFmtId="165" fontId="13" fillId="3" borderId="18" xfId="0" applyNumberFormat="1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1" fillId="0" borderId="18" xfId="0" quotePrefix="1" applyFont="1" applyBorder="1" applyAlignment="1">
      <alignment horizontal="left"/>
    </xf>
    <xf numFmtId="0" fontId="11" fillId="0" borderId="18" xfId="0" applyFont="1" applyBorder="1"/>
    <xf numFmtId="14" fontId="11" fillId="0" borderId="18" xfId="0" applyNumberFormat="1" applyFont="1" applyBorder="1" applyAlignment="1">
      <alignment horizontal="center" vertical="center"/>
    </xf>
    <xf numFmtId="42" fontId="11" fillId="0" borderId="18" xfId="1" applyNumberFormat="1" applyFont="1" applyFill="1" applyBorder="1" applyAlignment="1">
      <alignment horizontal="center" vertical="center"/>
    </xf>
    <xf numFmtId="42" fontId="11" fillId="3" borderId="18" xfId="0" applyNumberFormat="1" applyFont="1" applyFill="1" applyBorder="1"/>
    <xf numFmtId="0" fontId="11" fillId="4" borderId="18" xfId="0" applyFont="1" applyFill="1" applyBorder="1"/>
    <xf numFmtId="14" fontId="11" fillId="0" borderId="18" xfId="0" applyNumberFormat="1" applyFont="1" applyBorder="1"/>
    <xf numFmtId="0" fontId="13" fillId="0" borderId="0" xfId="0" applyFont="1" applyAlignment="1">
      <alignment horizontal="center"/>
    </xf>
    <xf numFmtId="42" fontId="13" fillId="0" borderId="0" xfId="0" applyNumberFormat="1" applyFont="1"/>
    <xf numFmtId="0" fontId="13" fillId="0" borderId="0" xfId="0" applyFont="1"/>
    <xf numFmtId="42" fontId="13" fillId="0" borderId="0" xfId="0" applyNumberFormat="1" applyFont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166" fontId="17" fillId="0" borderId="0" xfId="0" applyNumberFormat="1" applyFont="1"/>
    <xf numFmtId="165" fontId="18" fillId="2" borderId="18" xfId="0" applyNumberFormat="1" applyFont="1" applyFill="1" applyBorder="1"/>
    <xf numFmtId="165" fontId="18" fillId="0" borderId="0" xfId="0" applyNumberFormat="1" applyFont="1"/>
    <xf numFmtId="165" fontId="18" fillId="0" borderId="0" xfId="0" applyNumberFormat="1" applyFont="1" applyAlignment="1">
      <alignment horizontal="center" vertical="center"/>
    </xf>
    <xf numFmtId="42" fontId="13" fillId="3" borderId="8" xfId="0" applyNumberFormat="1" applyFont="1" applyFill="1" applyBorder="1"/>
    <xf numFmtId="42" fontId="13" fillId="4" borderId="8" xfId="0" applyNumberFormat="1" applyFont="1" applyFill="1" applyBorder="1"/>
    <xf numFmtId="0" fontId="13" fillId="0" borderId="8" xfId="0" applyFont="1" applyBorder="1"/>
    <xf numFmtId="42" fontId="13" fillId="2" borderId="16" xfId="0" applyNumberFormat="1" applyFont="1" applyFill="1" applyBorder="1" applyAlignment="1">
      <alignment horizontal="center"/>
    </xf>
    <xf numFmtId="165" fontId="18" fillId="2" borderId="4" xfId="0" applyNumberFormat="1" applyFont="1" applyFill="1" applyBorder="1"/>
    <xf numFmtId="0" fontId="11" fillId="0" borderId="19" xfId="0" applyFont="1" applyBorder="1"/>
    <xf numFmtId="165" fontId="13" fillId="3" borderId="16" xfId="0" applyNumberFormat="1" applyFont="1" applyFill="1" applyBorder="1" applyAlignment="1">
      <alignment horizontal="center"/>
    </xf>
    <xf numFmtId="42" fontId="0" fillId="4" borderId="4" xfId="0" applyNumberFormat="1" applyFill="1" applyBorder="1"/>
    <xf numFmtId="42" fontId="0" fillId="4" borderId="4" xfId="2" applyNumberFormat="1" applyFont="1" applyFill="1" applyBorder="1"/>
    <xf numFmtId="0" fontId="20" fillId="0" borderId="4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166" fontId="2" fillId="3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42" fontId="8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166" fontId="2" fillId="2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2" borderId="18" xfId="0" applyFont="1" applyFill="1" applyBorder="1" applyAlignment="1">
      <alignment horizontal="center" vertical="center"/>
    </xf>
    <xf numFmtId="166" fontId="13" fillId="3" borderId="18" xfId="0" applyNumberFormat="1" applyFont="1" applyFill="1" applyBorder="1" applyAlignment="1">
      <alignment horizontal="center"/>
    </xf>
    <xf numFmtId="0" fontId="13" fillId="7" borderId="18" xfId="0" applyFont="1" applyFill="1" applyBorder="1" applyAlignment="1">
      <alignment horizontal="center"/>
    </xf>
    <xf numFmtId="42" fontId="16" fillId="0" borderId="18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2" borderId="18" xfId="0" applyFont="1" applyFill="1" applyBorder="1" applyAlignment="1">
      <alignment horizontal="center"/>
    </xf>
    <xf numFmtId="165" fontId="18" fillId="2" borderId="18" xfId="0" applyNumberFormat="1" applyFont="1" applyFill="1" applyBorder="1" applyAlignment="1">
      <alignment horizontal="center" vertical="center"/>
    </xf>
    <xf numFmtId="166" fontId="13" fillId="2" borderId="18" xfId="0" applyNumberFormat="1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left"/>
    </xf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7" xfId="0" applyFont="1" applyFill="1" applyBorder="1" applyAlignment="1">
      <alignment horizontal="center"/>
    </xf>
    <xf numFmtId="165" fontId="18" fillId="2" borderId="2" xfId="0" applyNumberFormat="1" applyFont="1" applyFill="1" applyBorder="1" applyAlignment="1">
      <alignment horizontal="center" vertical="center"/>
    </xf>
    <xf numFmtId="165" fontId="18" fillId="2" borderId="8" xfId="0" applyNumberFormat="1" applyFont="1" applyFill="1" applyBorder="1" applyAlignment="1">
      <alignment horizontal="center" vertical="center"/>
    </xf>
  </cellXfs>
  <cellStyles count="3">
    <cellStyle name="Comma [0]" xfId="2" builtinId="6"/>
    <cellStyle name="Comma 2" xfId="1" xr:uid="{20F53341-C18C-4639-975F-21F1D338DAE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1695-B5AE-41B0-AC8F-D91D4ECEB723}">
  <dimension ref="A2:Q93"/>
  <sheetViews>
    <sheetView topLeftCell="E64" workbookViewId="0">
      <selection activeCell="G73" sqref="G73:I73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38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39</v>
      </c>
      <c r="E9" s="14" t="s">
        <v>40</v>
      </c>
      <c r="F9" s="15" t="s">
        <v>41</v>
      </c>
      <c r="G9" s="16">
        <v>46136</v>
      </c>
      <c r="H9" s="16">
        <v>46149</v>
      </c>
      <c r="I9" s="17">
        <v>3429000</v>
      </c>
      <c r="J9" s="18">
        <v>2429000</v>
      </c>
      <c r="K9" s="19"/>
      <c r="L9" s="20"/>
      <c r="M9" s="20"/>
      <c r="N9" s="21" t="s">
        <v>158</v>
      </c>
      <c r="O9" s="22"/>
    </row>
    <row r="10" spans="2:17" x14ac:dyDescent="0.25">
      <c r="B10" s="11">
        <v>2</v>
      </c>
      <c r="C10" s="12"/>
      <c r="D10" s="13" t="s">
        <v>42</v>
      </c>
      <c r="E10" s="14" t="s">
        <v>43</v>
      </c>
      <c r="F10" s="15" t="s">
        <v>44</v>
      </c>
      <c r="G10" s="16">
        <v>46147</v>
      </c>
      <c r="H10" s="16">
        <v>46160</v>
      </c>
      <c r="I10" s="23">
        <v>645300</v>
      </c>
      <c r="J10" s="18">
        <v>513000</v>
      </c>
      <c r="K10" s="19"/>
      <c r="L10" s="24"/>
      <c r="M10" s="24"/>
      <c r="N10" s="22" t="s">
        <v>158</v>
      </c>
      <c r="O10" s="22"/>
    </row>
    <row r="11" spans="2:17" x14ac:dyDescent="0.25">
      <c r="B11" s="11">
        <v>3</v>
      </c>
      <c r="C11" s="12"/>
      <c r="D11" s="13" t="s">
        <v>45</v>
      </c>
      <c r="E11" s="14" t="s">
        <v>46</v>
      </c>
      <c r="F11" s="15" t="s">
        <v>47</v>
      </c>
      <c r="G11" s="16">
        <v>46161</v>
      </c>
      <c r="H11" s="16">
        <v>46174</v>
      </c>
      <c r="I11" s="23">
        <v>430200</v>
      </c>
      <c r="J11" s="18">
        <f t="shared" ref="J11:J16" si="0">I11</f>
        <v>430200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48</v>
      </c>
      <c r="E12" s="14" t="s">
        <v>49</v>
      </c>
      <c r="F12" s="15" t="s">
        <v>44</v>
      </c>
      <c r="G12" s="16">
        <v>46161</v>
      </c>
      <c r="H12" s="16">
        <v>46174</v>
      </c>
      <c r="I12" s="23">
        <v>430200</v>
      </c>
      <c r="J12" s="18">
        <f t="shared" si="0"/>
        <v>430200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50</v>
      </c>
      <c r="E13" s="14" t="s">
        <v>51</v>
      </c>
      <c r="F13" s="15" t="s">
        <v>52</v>
      </c>
      <c r="G13" s="16">
        <v>46161</v>
      </c>
      <c r="H13" s="16">
        <v>46174</v>
      </c>
      <c r="I13" s="23">
        <v>543800</v>
      </c>
      <c r="J13" s="18">
        <f t="shared" si="0"/>
        <v>543800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53</v>
      </c>
      <c r="E14" s="14" t="s">
        <v>54</v>
      </c>
      <c r="F14" s="15" t="s">
        <v>55</v>
      </c>
      <c r="G14" s="16">
        <v>46161</v>
      </c>
      <c r="H14" s="16">
        <v>46174</v>
      </c>
      <c r="I14" s="23">
        <v>430200</v>
      </c>
      <c r="J14" s="18">
        <v>200000</v>
      </c>
      <c r="K14" s="19"/>
      <c r="L14" s="24"/>
      <c r="M14" s="24"/>
      <c r="N14" s="22" t="s">
        <v>158</v>
      </c>
      <c r="O14" s="22"/>
    </row>
    <row r="15" spans="2:17" x14ac:dyDescent="0.25">
      <c r="B15" s="11">
        <v>7</v>
      </c>
      <c r="C15" s="12"/>
      <c r="D15" s="13" t="s">
        <v>56</v>
      </c>
      <c r="E15" s="14" t="s">
        <v>57</v>
      </c>
      <c r="F15" s="15" t="s">
        <v>52</v>
      </c>
      <c r="G15" s="16">
        <v>46161</v>
      </c>
      <c r="H15" s="16">
        <v>46174</v>
      </c>
      <c r="I15" s="23">
        <v>430200</v>
      </c>
      <c r="J15" s="18">
        <f t="shared" si="0"/>
        <v>430200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58</v>
      </c>
      <c r="E16" s="14" t="s">
        <v>59</v>
      </c>
      <c r="F16" s="15" t="s">
        <v>60</v>
      </c>
      <c r="G16" s="16">
        <v>46161</v>
      </c>
      <c r="H16" s="16">
        <v>46174</v>
      </c>
      <c r="I16" s="23">
        <v>430200</v>
      </c>
      <c r="J16" s="18">
        <f t="shared" si="0"/>
        <v>430200</v>
      </c>
      <c r="K16" s="19"/>
      <c r="L16" s="24"/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61</v>
      </c>
      <c r="E17" s="14" t="s">
        <v>40</v>
      </c>
      <c r="F17" s="15" t="s">
        <v>41</v>
      </c>
      <c r="G17" s="16">
        <v>46091</v>
      </c>
      <c r="H17" s="16">
        <v>46104</v>
      </c>
      <c r="I17" s="23">
        <v>2000000</v>
      </c>
      <c r="J17" s="18"/>
      <c r="K17" s="19"/>
      <c r="L17" s="24">
        <f>I17</f>
        <v>2000000</v>
      </c>
      <c r="M17" s="24"/>
      <c r="N17" s="22" t="s">
        <v>155</v>
      </c>
      <c r="O17" s="22"/>
    </row>
    <row r="18" spans="2:15" x14ac:dyDescent="0.25">
      <c r="B18" s="11">
        <v>11</v>
      </c>
      <c r="C18" s="12"/>
      <c r="D18" s="13" t="s">
        <v>62</v>
      </c>
      <c r="E18" s="14" t="s">
        <v>49</v>
      </c>
      <c r="F18" s="15" t="s">
        <v>44</v>
      </c>
      <c r="G18" s="16">
        <v>46161</v>
      </c>
      <c r="H18" s="16">
        <v>46174</v>
      </c>
      <c r="I18" s="23">
        <v>270628</v>
      </c>
      <c r="J18" s="18"/>
      <c r="K18" s="19"/>
      <c r="L18" s="24">
        <f t="shared" ref="L18:L19" si="1">I18</f>
        <v>270628</v>
      </c>
      <c r="M18" s="24"/>
      <c r="N18" s="22" t="s">
        <v>155</v>
      </c>
      <c r="O18" s="22"/>
    </row>
    <row r="19" spans="2:15" x14ac:dyDescent="0.25">
      <c r="B19" s="11">
        <v>12</v>
      </c>
      <c r="C19" s="12"/>
      <c r="D19" s="13" t="s">
        <v>63</v>
      </c>
      <c r="E19" s="14" t="s">
        <v>64</v>
      </c>
      <c r="F19" s="15" t="s">
        <v>65</v>
      </c>
      <c r="G19" s="16">
        <v>46161</v>
      </c>
      <c r="H19" s="16">
        <v>46174</v>
      </c>
      <c r="I19" s="23">
        <v>558200</v>
      </c>
      <c r="J19" s="18"/>
      <c r="K19" s="19"/>
      <c r="L19" s="24">
        <f t="shared" si="1"/>
        <v>558200</v>
      </c>
      <c r="M19" s="24"/>
      <c r="N19" s="22" t="s">
        <v>155</v>
      </c>
      <c r="O19" s="22"/>
    </row>
    <row r="20" spans="2:15" ht="15.75" x14ac:dyDescent="0.25">
      <c r="B20" s="169" t="s">
        <v>13</v>
      </c>
      <c r="C20" s="170"/>
      <c r="D20" s="170"/>
      <c r="E20" s="170"/>
      <c r="F20" s="170"/>
      <c r="G20" s="170"/>
      <c r="H20" s="170"/>
      <c r="I20" s="171"/>
      <c r="J20" s="25">
        <f>SUM(J9:J19)</f>
        <v>5406600</v>
      </c>
      <c r="K20" s="26">
        <f>SUM(K9:K19)</f>
        <v>0</v>
      </c>
      <c r="L20" s="27">
        <f>SUM(L9:L19)</f>
        <v>2828828</v>
      </c>
      <c r="M20" s="28">
        <f>SUM(M9:M19)</f>
        <v>0</v>
      </c>
      <c r="N20" s="29"/>
      <c r="O20" s="30">
        <f>SUM(J20+K20+L20+M20)</f>
        <v>8235428</v>
      </c>
    </row>
    <row r="21" spans="2:15" ht="15.75" x14ac:dyDescent="0.25"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</row>
    <row r="22" spans="2:15" x14ac:dyDescent="0.25">
      <c r="B22" s="11">
        <v>1</v>
      </c>
      <c r="C22" s="31" t="s">
        <v>20</v>
      </c>
      <c r="D22" s="13" t="s">
        <v>67</v>
      </c>
      <c r="E22" s="32" t="s">
        <v>68</v>
      </c>
      <c r="F22" s="33" t="s">
        <v>66</v>
      </c>
      <c r="G22" s="34">
        <v>46147</v>
      </c>
      <c r="H22" s="35">
        <v>46160</v>
      </c>
      <c r="I22" s="36">
        <v>327900</v>
      </c>
      <c r="J22" s="37">
        <f t="shared" ref="J22:J28" si="2">I22</f>
        <v>327900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2</v>
      </c>
      <c r="C23" s="31"/>
      <c r="D23" s="13" t="s">
        <v>69</v>
      </c>
      <c r="E23" s="32" t="s">
        <v>70</v>
      </c>
      <c r="F23" s="33" t="s">
        <v>71</v>
      </c>
      <c r="G23" s="34">
        <v>46147</v>
      </c>
      <c r="H23" s="35">
        <v>46160</v>
      </c>
      <c r="I23" s="36">
        <v>215100</v>
      </c>
      <c r="J23" s="37">
        <v>150000</v>
      </c>
      <c r="K23" s="19"/>
      <c r="L23" s="24"/>
      <c r="M23" s="24"/>
      <c r="N23" s="22" t="s">
        <v>158</v>
      </c>
      <c r="O23" s="22"/>
    </row>
    <row r="24" spans="2:15" x14ac:dyDescent="0.25">
      <c r="B24" s="11">
        <v>3</v>
      </c>
      <c r="C24" s="31"/>
      <c r="D24" s="13" t="s">
        <v>72</v>
      </c>
      <c r="E24" s="32" t="s">
        <v>73</v>
      </c>
      <c r="F24" s="33" t="s">
        <v>74</v>
      </c>
      <c r="G24" s="34">
        <v>46147</v>
      </c>
      <c r="H24" s="35">
        <v>46160</v>
      </c>
      <c r="I24" s="36">
        <v>215100</v>
      </c>
      <c r="J24" s="37">
        <f t="shared" si="2"/>
        <v>215100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4</v>
      </c>
      <c r="C25" s="31"/>
      <c r="D25" s="13" t="s">
        <v>76</v>
      </c>
      <c r="E25" s="32" t="s">
        <v>77</v>
      </c>
      <c r="F25" s="33" t="s">
        <v>66</v>
      </c>
      <c r="G25" s="34">
        <v>46161</v>
      </c>
      <c r="H25" s="35">
        <v>46174</v>
      </c>
      <c r="I25" s="36">
        <v>215100</v>
      </c>
      <c r="J25" s="37">
        <f t="shared" si="2"/>
        <v>215100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5</v>
      </c>
      <c r="C26" s="31"/>
      <c r="D26" s="13" t="s">
        <v>78</v>
      </c>
      <c r="E26" s="32" t="s">
        <v>79</v>
      </c>
      <c r="F26" s="33" t="s">
        <v>66</v>
      </c>
      <c r="G26" s="34">
        <v>46161</v>
      </c>
      <c r="H26" s="35">
        <v>46174</v>
      </c>
      <c r="I26" s="36">
        <v>215100</v>
      </c>
      <c r="J26" s="37">
        <f t="shared" si="2"/>
        <v>215100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6</v>
      </c>
      <c r="C27" s="31"/>
      <c r="D27" s="13" t="s">
        <v>80</v>
      </c>
      <c r="E27" s="32" t="s">
        <v>81</v>
      </c>
      <c r="F27" s="33" t="s">
        <v>75</v>
      </c>
      <c r="G27" s="34">
        <v>46161</v>
      </c>
      <c r="H27" s="35">
        <v>46174</v>
      </c>
      <c r="I27" s="36">
        <v>771000</v>
      </c>
      <c r="J27" s="37">
        <f t="shared" si="2"/>
        <v>771000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7</v>
      </c>
      <c r="C28" s="31"/>
      <c r="D28" s="13" t="s">
        <v>82</v>
      </c>
      <c r="E28" s="32" t="s">
        <v>83</v>
      </c>
      <c r="F28" s="33" t="s">
        <v>75</v>
      </c>
      <c r="G28" s="34">
        <v>46161</v>
      </c>
      <c r="H28" s="35">
        <v>46174</v>
      </c>
      <c r="I28" s="36">
        <v>328700</v>
      </c>
      <c r="J28" s="37">
        <f t="shared" si="2"/>
        <v>328700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8</v>
      </c>
      <c r="C29" s="31"/>
      <c r="D29" s="13" t="s">
        <v>84</v>
      </c>
      <c r="E29" s="32" t="s">
        <v>85</v>
      </c>
      <c r="F29" s="33" t="s">
        <v>86</v>
      </c>
      <c r="G29" s="34">
        <v>46132</v>
      </c>
      <c r="H29" s="35">
        <v>46145</v>
      </c>
      <c r="I29" s="36">
        <v>113000</v>
      </c>
      <c r="J29" s="37"/>
      <c r="K29" s="19"/>
      <c r="L29" s="24">
        <f>I29</f>
        <v>113000</v>
      </c>
      <c r="M29" s="24"/>
      <c r="N29" s="22" t="s">
        <v>155</v>
      </c>
      <c r="O29" s="22"/>
    </row>
    <row r="30" spans="2:15" x14ac:dyDescent="0.25">
      <c r="B30" s="11">
        <v>9</v>
      </c>
      <c r="C30" s="31"/>
      <c r="D30" s="13" t="s">
        <v>87</v>
      </c>
      <c r="E30" s="32" t="s">
        <v>68</v>
      </c>
      <c r="F30" s="33" t="s">
        <v>66</v>
      </c>
      <c r="G30" s="34">
        <v>46147</v>
      </c>
      <c r="H30" s="35">
        <v>46160</v>
      </c>
      <c r="I30" s="36">
        <v>68556</v>
      </c>
      <c r="J30" s="37"/>
      <c r="K30" s="19"/>
      <c r="L30" s="24">
        <f t="shared" ref="L30:L33" si="3">I30</f>
        <v>68556</v>
      </c>
      <c r="M30" s="24"/>
      <c r="N30" s="22" t="s">
        <v>155</v>
      </c>
      <c r="O30" s="22"/>
    </row>
    <row r="31" spans="2:15" x14ac:dyDescent="0.25">
      <c r="B31" s="11">
        <v>10</v>
      </c>
      <c r="C31" s="31"/>
      <c r="D31" s="13" t="s">
        <v>88</v>
      </c>
      <c r="E31" s="32" t="s">
        <v>89</v>
      </c>
      <c r="F31" s="33" t="s">
        <v>90</v>
      </c>
      <c r="G31" s="34">
        <v>46160</v>
      </c>
      <c r="H31" s="35">
        <v>46173</v>
      </c>
      <c r="I31" s="36">
        <v>390000</v>
      </c>
      <c r="J31" s="37"/>
      <c r="K31" s="19"/>
      <c r="L31" s="24">
        <f t="shared" si="3"/>
        <v>390000</v>
      </c>
      <c r="M31" s="24"/>
      <c r="N31" s="22" t="s">
        <v>155</v>
      </c>
      <c r="O31" s="22"/>
    </row>
    <row r="32" spans="2:15" x14ac:dyDescent="0.25">
      <c r="B32" s="11">
        <v>11</v>
      </c>
      <c r="C32" s="31"/>
      <c r="D32" s="13" t="s">
        <v>91</v>
      </c>
      <c r="E32" s="32" t="s">
        <v>92</v>
      </c>
      <c r="F32" s="33" t="s">
        <v>93</v>
      </c>
      <c r="G32" s="34">
        <v>46161</v>
      </c>
      <c r="H32" s="35">
        <v>46174</v>
      </c>
      <c r="I32" s="36">
        <v>394610</v>
      </c>
      <c r="J32" s="37"/>
      <c r="K32" s="19"/>
      <c r="L32" s="24">
        <f t="shared" si="3"/>
        <v>394610</v>
      </c>
      <c r="M32" s="24"/>
      <c r="N32" s="22" t="s">
        <v>155</v>
      </c>
      <c r="O32" s="22"/>
    </row>
    <row r="33" spans="2:15" x14ac:dyDescent="0.25">
      <c r="B33" s="11">
        <v>12</v>
      </c>
      <c r="C33" s="31"/>
      <c r="D33" s="13" t="s">
        <v>94</v>
      </c>
      <c r="E33" s="32" t="s">
        <v>95</v>
      </c>
      <c r="F33" s="33" t="s">
        <v>66</v>
      </c>
      <c r="G33" s="34">
        <v>46161</v>
      </c>
      <c r="H33" s="35">
        <v>46174</v>
      </c>
      <c r="I33" s="36">
        <v>73200</v>
      </c>
      <c r="J33" s="37"/>
      <c r="K33" s="19"/>
      <c r="L33" s="24">
        <f t="shared" si="3"/>
        <v>73200</v>
      </c>
      <c r="M33" s="24"/>
      <c r="N33" s="22" t="s">
        <v>155</v>
      </c>
      <c r="O33" s="22"/>
    </row>
    <row r="34" spans="2:15" ht="15.75" x14ac:dyDescent="0.25">
      <c r="B34" s="192" t="s">
        <v>13</v>
      </c>
      <c r="C34" s="193"/>
      <c r="D34" s="193"/>
      <c r="E34" s="193"/>
      <c r="F34" s="193"/>
      <c r="G34" s="193"/>
      <c r="H34" s="193"/>
      <c r="I34" s="194"/>
      <c r="J34" s="38">
        <f>SUM(J22:J33)</f>
        <v>2222900</v>
      </c>
      <c r="K34" s="26">
        <f>SUM(K22:K33)</f>
        <v>0</v>
      </c>
      <c r="L34" s="27">
        <f>SUM(L22:L33)</f>
        <v>1039366</v>
      </c>
      <c r="M34" s="27">
        <f>SUM(M22:M33)</f>
        <v>0</v>
      </c>
      <c r="N34" s="39"/>
      <c r="O34" s="40">
        <f>SUM(J34+K34+L34+M34)</f>
        <v>3262266</v>
      </c>
    </row>
    <row r="35" spans="2:15" ht="15.75" x14ac:dyDescent="0.25">
      <c r="B35" s="195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</row>
    <row r="36" spans="2:15" ht="15.75" x14ac:dyDescent="0.25">
      <c r="B36" s="42">
        <v>1</v>
      </c>
      <c r="C36" s="43" t="s">
        <v>21</v>
      </c>
      <c r="D36" s="44" t="s">
        <v>96</v>
      </c>
      <c r="E36" s="45" t="s">
        <v>97</v>
      </c>
      <c r="F36" s="45" t="s">
        <v>98</v>
      </c>
      <c r="G36" s="46">
        <v>46160</v>
      </c>
      <c r="H36" s="46">
        <v>46172</v>
      </c>
      <c r="I36" s="47">
        <v>645300</v>
      </c>
      <c r="J36" s="48">
        <f>I36</f>
        <v>645300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2</v>
      </c>
      <c r="C37" s="43"/>
      <c r="D37" s="44" t="s">
        <v>99</v>
      </c>
      <c r="E37" s="45" t="s">
        <v>100</v>
      </c>
      <c r="F37" s="45" t="s">
        <v>101</v>
      </c>
      <c r="G37" s="46">
        <v>46160</v>
      </c>
      <c r="H37" s="46">
        <v>46172</v>
      </c>
      <c r="I37" s="47">
        <v>258900</v>
      </c>
      <c r="J37" s="48">
        <f t="shared" ref="J37:J43" si="4">I37</f>
        <v>258900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3</v>
      </c>
      <c r="C38" s="43"/>
      <c r="D38" s="44" t="s">
        <v>102</v>
      </c>
      <c r="E38" s="45" t="s">
        <v>103</v>
      </c>
      <c r="F38" s="45" t="s">
        <v>104</v>
      </c>
      <c r="G38" s="46">
        <v>46160</v>
      </c>
      <c r="H38" s="46">
        <v>46172</v>
      </c>
      <c r="I38" s="47">
        <v>345300</v>
      </c>
      <c r="J38" s="48">
        <f t="shared" si="4"/>
        <v>345300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4</v>
      </c>
      <c r="C39" s="43"/>
      <c r="D39" s="44" t="s">
        <v>105</v>
      </c>
      <c r="E39" s="45" t="s">
        <v>106</v>
      </c>
      <c r="F39" s="45" t="s">
        <v>107</v>
      </c>
      <c r="G39" s="46">
        <v>46161</v>
      </c>
      <c r="H39" s="46">
        <v>46174</v>
      </c>
      <c r="I39" s="47">
        <v>430200</v>
      </c>
      <c r="J39" s="48">
        <f t="shared" si="4"/>
        <v>430200</v>
      </c>
      <c r="K39" s="49"/>
      <c r="L39" s="50"/>
      <c r="M39" s="50"/>
      <c r="N39" s="22" t="s">
        <v>155</v>
      </c>
      <c r="O39" s="42"/>
    </row>
    <row r="40" spans="2:15" ht="15.75" x14ac:dyDescent="0.25">
      <c r="B40" s="42">
        <v>5</v>
      </c>
      <c r="C40" s="43"/>
      <c r="D40" s="44" t="s">
        <v>108</v>
      </c>
      <c r="E40" s="45" t="s">
        <v>109</v>
      </c>
      <c r="F40" s="45" t="s">
        <v>110</v>
      </c>
      <c r="G40" s="46">
        <v>46161</v>
      </c>
      <c r="H40" s="46">
        <v>46174</v>
      </c>
      <c r="I40" s="47">
        <v>2719000</v>
      </c>
      <c r="J40" s="48">
        <f t="shared" si="4"/>
        <v>2719000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6</v>
      </c>
      <c r="C41" s="43"/>
      <c r="D41" s="44" t="s">
        <v>111</v>
      </c>
      <c r="E41" s="45" t="s">
        <v>112</v>
      </c>
      <c r="F41" s="45" t="s">
        <v>110</v>
      </c>
      <c r="G41" s="46">
        <v>46161</v>
      </c>
      <c r="H41" s="46">
        <v>46174</v>
      </c>
      <c r="I41" s="47">
        <v>645300</v>
      </c>
      <c r="J41" s="48">
        <f t="shared" si="4"/>
        <v>645300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7</v>
      </c>
      <c r="C42" s="43"/>
      <c r="D42" s="44" t="s">
        <v>113</v>
      </c>
      <c r="E42" s="45" t="s">
        <v>114</v>
      </c>
      <c r="F42" s="45" t="s">
        <v>110</v>
      </c>
      <c r="G42" s="46">
        <v>46161</v>
      </c>
      <c r="H42" s="46">
        <v>46174</v>
      </c>
      <c r="I42" s="47">
        <v>215100</v>
      </c>
      <c r="J42" s="48">
        <f t="shared" si="4"/>
        <v>215100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8</v>
      </c>
      <c r="C43" s="43"/>
      <c r="D43" s="44" t="s">
        <v>115</v>
      </c>
      <c r="E43" s="45" t="s">
        <v>116</v>
      </c>
      <c r="F43" s="45" t="s">
        <v>117</v>
      </c>
      <c r="G43" s="46">
        <v>46161</v>
      </c>
      <c r="H43" s="46">
        <v>46174</v>
      </c>
      <c r="I43" s="47">
        <v>215100</v>
      </c>
      <c r="J43" s="48">
        <f t="shared" si="4"/>
        <v>215100</v>
      </c>
      <c r="K43" s="49"/>
      <c r="L43" s="51"/>
      <c r="M43" s="51"/>
      <c r="N43" s="22" t="s">
        <v>155</v>
      </c>
      <c r="O43" s="42"/>
    </row>
    <row r="44" spans="2:15" ht="15.75" x14ac:dyDescent="0.25">
      <c r="B44" s="42">
        <v>9</v>
      </c>
      <c r="C44" s="43"/>
      <c r="D44" s="44" t="s">
        <v>118</v>
      </c>
      <c r="E44" s="45" t="s">
        <v>119</v>
      </c>
      <c r="F44" s="45" t="s">
        <v>120</v>
      </c>
      <c r="G44" s="46">
        <v>46160</v>
      </c>
      <c r="H44" s="46">
        <v>46172</v>
      </c>
      <c r="I44" s="47">
        <v>558200</v>
      </c>
      <c r="J44" s="48"/>
      <c r="K44" s="49"/>
      <c r="L44" s="51">
        <f>I44</f>
        <v>558200</v>
      </c>
      <c r="M44" s="51"/>
      <c r="N44" s="22" t="s">
        <v>155</v>
      </c>
      <c r="O44" s="42"/>
    </row>
    <row r="45" spans="2:15" ht="15.75" x14ac:dyDescent="0.25">
      <c r="B45" s="42">
        <v>10</v>
      </c>
      <c r="C45" s="42"/>
      <c r="D45" s="44" t="s">
        <v>121</v>
      </c>
      <c r="E45" s="45" t="s">
        <v>100</v>
      </c>
      <c r="F45" s="45" t="s">
        <v>101</v>
      </c>
      <c r="G45" s="46">
        <v>46160</v>
      </c>
      <c r="H45" s="46">
        <v>46172</v>
      </c>
      <c r="I45" s="47">
        <v>177000</v>
      </c>
      <c r="J45" s="48"/>
      <c r="K45" s="49"/>
      <c r="L45" s="51">
        <f t="shared" ref="L45:L48" si="5">I45</f>
        <v>177000</v>
      </c>
      <c r="M45" s="51"/>
      <c r="N45" s="22" t="s">
        <v>155</v>
      </c>
      <c r="O45" s="42"/>
    </row>
    <row r="46" spans="2:15" ht="15.75" x14ac:dyDescent="0.25">
      <c r="B46" s="42">
        <v>11</v>
      </c>
      <c r="C46" s="42"/>
      <c r="D46" s="44" t="s">
        <v>122</v>
      </c>
      <c r="E46" s="45" t="s">
        <v>106</v>
      </c>
      <c r="F46" s="45" t="s">
        <v>107</v>
      </c>
      <c r="G46" s="46">
        <v>46161</v>
      </c>
      <c r="H46" s="46">
        <v>46174</v>
      </c>
      <c r="I46" s="47">
        <v>224556</v>
      </c>
      <c r="J46" s="48"/>
      <c r="K46" s="49"/>
      <c r="L46" s="51">
        <f t="shared" si="5"/>
        <v>224556</v>
      </c>
      <c r="M46" s="51"/>
      <c r="N46" s="22" t="s">
        <v>155</v>
      </c>
      <c r="O46" s="42"/>
    </row>
    <row r="47" spans="2:15" ht="15.75" x14ac:dyDescent="0.25">
      <c r="B47" s="42">
        <v>12</v>
      </c>
      <c r="C47" s="42"/>
      <c r="D47" s="44" t="s">
        <v>123</v>
      </c>
      <c r="E47" s="45" t="s">
        <v>114</v>
      </c>
      <c r="F47" s="45" t="s">
        <v>110</v>
      </c>
      <c r="G47" s="46">
        <v>46161</v>
      </c>
      <c r="H47" s="46">
        <v>46174</v>
      </c>
      <c r="I47" s="47">
        <v>69498</v>
      </c>
      <c r="J47" s="48"/>
      <c r="K47" s="49"/>
      <c r="L47" s="51">
        <f t="shared" si="5"/>
        <v>69498</v>
      </c>
      <c r="M47" s="51"/>
      <c r="N47" s="22" t="s">
        <v>155</v>
      </c>
      <c r="O47" s="42"/>
    </row>
    <row r="48" spans="2:15" ht="15.75" x14ac:dyDescent="0.25">
      <c r="B48" s="42">
        <v>13</v>
      </c>
      <c r="C48" s="42"/>
      <c r="D48" s="44" t="s">
        <v>124</v>
      </c>
      <c r="E48" s="45" t="s">
        <v>125</v>
      </c>
      <c r="F48" s="45" t="s">
        <v>110</v>
      </c>
      <c r="G48" s="46">
        <v>46161</v>
      </c>
      <c r="H48" s="46">
        <v>46174</v>
      </c>
      <c r="I48" s="47">
        <v>347490</v>
      </c>
      <c r="J48" s="48"/>
      <c r="K48" s="49"/>
      <c r="L48" s="51">
        <f t="shared" si="5"/>
        <v>347490</v>
      </c>
      <c r="M48" s="51"/>
      <c r="N48" s="22" t="s">
        <v>155</v>
      </c>
      <c r="O48" s="42"/>
    </row>
    <row r="49" spans="2:15" ht="15.75" x14ac:dyDescent="0.25">
      <c r="B49" s="197" t="s">
        <v>13</v>
      </c>
      <c r="C49" s="198"/>
      <c r="D49" s="198"/>
      <c r="E49" s="198"/>
      <c r="F49" s="198"/>
      <c r="G49" s="198"/>
      <c r="H49" s="198"/>
      <c r="I49" s="199"/>
      <c r="J49" s="52">
        <f>SUM(J36:J48)</f>
        <v>5474200</v>
      </c>
      <c r="K49" s="53">
        <f>SUM(K36:K48)</f>
        <v>0</v>
      </c>
      <c r="L49" s="54">
        <f>SUM(L36:L48)</f>
        <v>1376744</v>
      </c>
      <c r="M49" s="54">
        <f>SUM(M36:M48)</f>
        <v>0</v>
      </c>
      <c r="N49" s="55"/>
      <c r="O49" s="56">
        <f>SUM(J49+K49+L49+M49)</f>
        <v>6850944</v>
      </c>
    </row>
    <row r="50" spans="2:15" x14ac:dyDescent="0.25">
      <c r="D50" s="57"/>
      <c r="I50" s="58"/>
      <c r="J50" s="58"/>
    </row>
    <row r="51" spans="2:15" x14ac:dyDescent="0.25">
      <c r="D51" s="57"/>
      <c r="I51" s="58"/>
      <c r="J51" s="58"/>
    </row>
    <row r="52" spans="2:15" ht="15.75" x14ac:dyDescent="0.25">
      <c r="D52" s="57"/>
      <c r="G52" s="200" t="s">
        <v>22</v>
      </c>
      <c r="H52" s="200"/>
      <c r="I52" s="200"/>
      <c r="J52" s="59">
        <f>SUM(J49+J34+J20)</f>
        <v>13103700</v>
      </c>
      <c r="K52" s="26">
        <f>SUM(K49+K34+K20)</f>
        <v>0</v>
      </c>
      <c r="L52" s="60">
        <f>SUM(L49+L34+L20)</f>
        <v>5244938</v>
      </c>
      <c r="M52" s="60">
        <f>SUM(M49+M34+M20)</f>
        <v>0</v>
      </c>
      <c r="N52" s="39"/>
      <c r="O52" s="30">
        <f>SUM(J52+K52+L52+M52)</f>
        <v>18348638</v>
      </c>
    </row>
    <row r="53" spans="2:15" x14ac:dyDescent="0.25">
      <c r="D53" s="57"/>
      <c r="I53" s="58"/>
      <c r="J53" s="58"/>
    </row>
    <row r="54" spans="2:15" x14ac:dyDescent="0.25">
      <c r="B54" s="201" t="s">
        <v>17</v>
      </c>
      <c r="C54" s="201"/>
      <c r="D54" s="201"/>
      <c r="I54" s="58"/>
      <c r="J54" s="58"/>
    </row>
    <row r="55" spans="2:15" ht="15.75" x14ac:dyDescent="0.25">
      <c r="B55" s="188" t="s">
        <v>4</v>
      </c>
      <c r="C55" s="202" t="s">
        <v>23</v>
      </c>
      <c r="D55" s="188" t="s">
        <v>6</v>
      </c>
      <c r="E55" s="188" t="s">
        <v>7</v>
      </c>
      <c r="F55" s="188" t="s">
        <v>8</v>
      </c>
      <c r="G55" s="188" t="s">
        <v>9</v>
      </c>
      <c r="H55" s="188" t="s">
        <v>10</v>
      </c>
      <c r="I55" s="202" t="s">
        <v>24</v>
      </c>
      <c r="J55" s="169" t="s">
        <v>12</v>
      </c>
      <c r="K55" s="170"/>
      <c r="L55" s="170"/>
      <c r="M55" s="170"/>
      <c r="N55" s="171"/>
      <c r="O55" s="204" t="s">
        <v>13</v>
      </c>
    </row>
    <row r="56" spans="2:15" ht="15.75" x14ac:dyDescent="0.25">
      <c r="B56" s="189"/>
      <c r="C56" s="203"/>
      <c r="D56" s="189"/>
      <c r="E56" s="189"/>
      <c r="F56" s="189"/>
      <c r="G56" s="189"/>
      <c r="H56" s="189"/>
      <c r="I56" s="203"/>
      <c r="J56" s="164" t="s">
        <v>14</v>
      </c>
      <c r="K56" s="165"/>
      <c r="L56" s="166" t="s">
        <v>15</v>
      </c>
      <c r="M56" s="167"/>
      <c r="N56" s="4" t="s">
        <v>16</v>
      </c>
      <c r="O56" s="205"/>
    </row>
    <row r="57" spans="2:15" ht="15.75" x14ac:dyDescent="0.25">
      <c r="B57" s="5"/>
      <c r="C57" s="61"/>
      <c r="D57" s="5"/>
      <c r="E57" s="5"/>
      <c r="F57" s="5"/>
      <c r="G57" s="5"/>
      <c r="H57" s="5"/>
      <c r="I57" s="61"/>
      <c r="J57" s="62" t="s">
        <v>17</v>
      </c>
      <c r="K57" s="6" t="s">
        <v>18</v>
      </c>
      <c r="L57" s="10" t="s">
        <v>17</v>
      </c>
      <c r="M57" s="10" t="s">
        <v>18</v>
      </c>
      <c r="N57" s="4"/>
      <c r="O57" s="7"/>
    </row>
    <row r="58" spans="2:15" ht="15" customHeight="1" x14ac:dyDescent="0.25">
      <c r="B58" s="63">
        <v>1</v>
      </c>
      <c r="C58" s="43" t="s">
        <v>156</v>
      </c>
      <c r="D58" s="64" t="s">
        <v>126</v>
      </c>
      <c r="E58" s="65" t="s">
        <v>127</v>
      </c>
      <c r="F58" s="65" t="s">
        <v>128</v>
      </c>
      <c r="G58" s="66">
        <v>46174</v>
      </c>
      <c r="H58" s="66"/>
      <c r="I58" s="67">
        <v>215100</v>
      </c>
      <c r="J58" s="37">
        <f>I58</f>
        <v>215100</v>
      </c>
      <c r="K58" s="68"/>
      <c r="L58" s="69"/>
      <c r="M58" s="69"/>
      <c r="N58" s="22" t="s">
        <v>155</v>
      </c>
      <c r="O58" s="70"/>
    </row>
    <row r="59" spans="2:15" ht="15" customHeight="1" x14ac:dyDescent="0.25">
      <c r="B59" s="63">
        <v>2</v>
      </c>
      <c r="C59" s="43" t="s">
        <v>156</v>
      </c>
      <c r="D59" s="71" t="s">
        <v>129</v>
      </c>
      <c r="E59" s="71" t="s">
        <v>127</v>
      </c>
      <c r="F59" s="70" t="s">
        <v>128</v>
      </c>
      <c r="G59" s="66">
        <v>46174</v>
      </c>
      <c r="H59" s="72"/>
      <c r="I59" s="22">
        <v>135278</v>
      </c>
      <c r="J59" s="37"/>
      <c r="K59" s="68"/>
      <c r="L59" s="24">
        <f>I59</f>
        <v>135278</v>
      </c>
      <c r="M59" s="69"/>
      <c r="N59" s="22" t="s">
        <v>155</v>
      </c>
      <c r="O59" s="70"/>
    </row>
    <row r="60" spans="2:15" ht="15" customHeight="1" x14ac:dyDescent="0.25">
      <c r="B60" s="63">
        <v>3</v>
      </c>
      <c r="C60" s="43" t="s">
        <v>156</v>
      </c>
      <c r="D60" s="71" t="s">
        <v>130</v>
      </c>
      <c r="E60" s="71" t="s">
        <v>131</v>
      </c>
      <c r="F60" s="70" t="s">
        <v>132</v>
      </c>
      <c r="G60" s="66">
        <v>46174</v>
      </c>
      <c r="H60" s="72"/>
      <c r="I60" s="22">
        <v>137112</v>
      </c>
      <c r="J60" s="37"/>
      <c r="K60" s="68"/>
      <c r="L60" s="24">
        <f t="shared" ref="L60:L61" si="6">I60</f>
        <v>137112</v>
      </c>
      <c r="M60" s="69"/>
      <c r="N60" s="22" t="s">
        <v>155</v>
      </c>
      <c r="O60" s="70"/>
    </row>
    <row r="61" spans="2:15" ht="15" customHeight="1" x14ac:dyDescent="0.25">
      <c r="B61" s="63">
        <v>4</v>
      </c>
      <c r="C61" s="43" t="s">
        <v>156</v>
      </c>
      <c r="D61" s="71" t="s">
        <v>133</v>
      </c>
      <c r="E61" s="71" t="s">
        <v>134</v>
      </c>
      <c r="F61" s="70" t="s">
        <v>135</v>
      </c>
      <c r="G61" s="66">
        <v>46174</v>
      </c>
      <c r="H61" s="72"/>
      <c r="I61" s="22">
        <v>295000</v>
      </c>
      <c r="J61" s="37"/>
      <c r="K61" s="68"/>
      <c r="L61" s="24">
        <f t="shared" si="6"/>
        <v>295000</v>
      </c>
      <c r="M61" s="69"/>
      <c r="N61" s="22" t="s">
        <v>155</v>
      </c>
      <c r="O61" s="70"/>
    </row>
    <row r="62" spans="2:15" ht="15" customHeight="1" x14ac:dyDescent="0.25">
      <c r="B62" s="63">
        <v>5</v>
      </c>
      <c r="C62" s="43" t="s">
        <v>156</v>
      </c>
      <c r="D62" s="71" t="s">
        <v>136</v>
      </c>
      <c r="E62" s="71" t="s">
        <v>137</v>
      </c>
      <c r="F62" s="70" t="s">
        <v>138</v>
      </c>
      <c r="G62" s="66">
        <v>46174</v>
      </c>
      <c r="H62" s="72"/>
      <c r="I62" s="22">
        <v>4252000</v>
      </c>
      <c r="J62" s="37"/>
      <c r="K62" s="68">
        <v>4252000</v>
      </c>
      <c r="L62" s="69"/>
      <c r="M62" s="69"/>
      <c r="N62" s="22" t="s">
        <v>157</v>
      </c>
      <c r="O62" s="70"/>
    </row>
    <row r="63" spans="2:15" ht="15" customHeight="1" x14ac:dyDescent="0.25">
      <c r="B63" s="63">
        <v>6</v>
      </c>
      <c r="C63" s="43" t="s">
        <v>156</v>
      </c>
      <c r="D63" s="71" t="s">
        <v>139</v>
      </c>
      <c r="E63" s="71" t="s">
        <v>140</v>
      </c>
      <c r="F63" s="70" t="s">
        <v>141</v>
      </c>
      <c r="G63" s="66">
        <v>46174</v>
      </c>
      <c r="H63" s="72"/>
      <c r="I63" s="22">
        <v>961500</v>
      </c>
      <c r="J63" s="37">
        <f>I63</f>
        <v>961500</v>
      </c>
      <c r="K63" s="68"/>
      <c r="L63" s="69"/>
      <c r="M63" s="69"/>
      <c r="N63" s="22" t="s">
        <v>155</v>
      </c>
      <c r="O63" s="70"/>
    </row>
    <row r="64" spans="2:15" ht="15.75" x14ac:dyDescent="0.25">
      <c r="B64" s="169" t="s">
        <v>25</v>
      </c>
      <c r="C64" s="170"/>
      <c r="D64" s="170"/>
      <c r="E64" s="170"/>
      <c r="F64" s="170"/>
      <c r="G64" s="170"/>
      <c r="H64" s="170"/>
      <c r="I64" s="171"/>
      <c r="J64" s="25">
        <f>SUM(J58:J63)</f>
        <v>1176600</v>
      </c>
      <c r="K64" s="74">
        <f>SUM(K58:K63)</f>
        <v>4252000</v>
      </c>
      <c r="L64" s="60">
        <f>SUM(L58:L63)</f>
        <v>567390</v>
      </c>
      <c r="M64" s="60">
        <f>SUM(M58:M63)</f>
        <v>0</v>
      </c>
      <c r="N64" s="39"/>
      <c r="O64" s="75">
        <f>SUM(J64+K64+L64+M64)</f>
        <v>5995990</v>
      </c>
    </row>
    <row r="65" spans="1:15" ht="15.75" x14ac:dyDescent="0.25">
      <c r="B65" s="172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</row>
    <row r="66" spans="1:15" x14ac:dyDescent="0.25">
      <c r="B66" s="44">
        <v>1</v>
      </c>
      <c r="C66" s="12" t="s">
        <v>154</v>
      </c>
      <c r="D66" s="71" t="s">
        <v>142</v>
      </c>
      <c r="E66" s="71" t="s">
        <v>143</v>
      </c>
      <c r="F66" s="70" t="s">
        <v>144</v>
      </c>
      <c r="G66" s="66">
        <v>46174</v>
      </c>
      <c r="H66" s="72"/>
      <c r="I66" s="22">
        <v>328700</v>
      </c>
      <c r="J66" s="73">
        <f>I66</f>
        <v>328700</v>
      </c>
      <c r="K66" s="68"/>
      <c r="L66" s="69"/>
      <c r="M66" s="69"/>
      <c r="N66" s="22" t="s">
        <v>155</v>
      </c>
      <c r="O66" s="70"/>
    </row>
    <row r="67" spans="1:15" x14ac:dyDescent="0.25">
      <c r="B67" s="44">
        <v>2</v>
      </c>
      <c r="C67" s="12" t="s">
        <v>154</v>
      </c>
      <c r="D67" s="71" t="s">
        <v>145</v>
      </c>
      <c r="E67" s="71" t="s">
        <v>146</v>
      </c>
      <c r="F67" s="70" t="s">
        <v>147</v>
      </c>
      <c r="G67" s="66">
        <v>46174</v>
      </c>
      <c r="H67" s="72"/>
      <c r="I67" s="22">
        <v>430200</v>
      </c>
      <c r="J67" s="73">
        <f t="shared" ref="J67:J68" si="7">I67</f>
        <v>430200</v>
      </c>
      <c r="K67" s="68"/>
      <c r="L67" s="24"/>
      <c r="M67" s="24"/>
      <c r="N67" s="22" t="s">
        <v>155</v>
      </c>
      <c r="O67" s="70"/>
    </row>
    <row r="68" spans="1:15" x14ac:dyDescent="0.25">
      <c r="B68" s="44">
        <v>3</v>
      </c>
      <c r="C68" s="12" t="s">
        <v>154</v>
      </c>
      <c r="D68" s="71" t="s">
        <v>148</v>
      </c>
      <c r="E68" s="71" t="s">
        <v>149</v>
      </c>
      <c r="F68" s="70" t="s">
        <v>147</v>
      </c>
      <c r="G68" s="66">
        <v>46174</v>
      </c>
      <c r="H68" s="72"/>
      <c r="I68" s="22">
        <v>645300</v>
      </c>
      <c r="J68" s="73">
        <f t="shared" si="7"/>
        <v>645300</v>
      </c>
      <c r="K68" s="68"/>
      <c r="L68" s="69"/>
      <c r="M68" s="69"/>
      <c r="N68" s="22" t="s">
        <v>155</v>
      </c>
      <c r="O68" s="70"/>
    </row>
    <row r="69" spans="1:15" x14ac:dyDescent="0.25">
      <c r="B69" s="44">
        <v>4</v>
      </c>
      <c r="C69" s="12" t="s">
        <v>154</v>
      </c>
      <c r="D69" s="71" t="s">
        <v>150</v>
      </c>
      <c r="E69" s="71" t="s">
        <v>151</v>
      </c>
      <c r="F69" s="70" t="s">
        <v>152</v>
      </c>
      <c r="G69" s="66">
        <v>46174</v>
      </c>
      <c r="H69" s="72"/>
      <c r="I69" s="22">
        <v>1382900</v>
      </c>
      <c r="J69" s="73"/>
      <c r="K69" s="68"/>
      <c r="L69" s="24">
        <f>I69</f>
        <v>1382900</v>
      </c>
      <c r="M69" s="69"/>
      <c r="N69" s="22" t="s">
        <v>155</v>
      </c>
      <c r="O69" s="70"/>
    </row>
    <row r="70" spans="1:15" x14ac:dyDescent="0.25">
      <c r="B70" s="44">
        <v>5</v>
      </c>
      <c r="C70" s="12" t="s">
        <v>154</v>
      </c>
      <c r="D70" s="71" t="s">
        <v>153</v>
      </c>
      <c r="E70" s="71" t="s">
        <v>149</v>
      </c>
      <c r="F70" s="70" t="s">
        <v>147</v>
      </c>
      <c r="G70" s="66">
        <v>46174</v>
      </c>
      <c r="H70" s="72"/>
      <c r="I70" s="22">
        <v>217500</v>
      </c>
      <c r="J70" s="73"/>
      <c r="K70" s="68"/>
      <c r="L70" s="24">
        <f>I70</f>
        <v>217500</v>
      </c>
      <c r="M70" s="69"/>
      <c r="N70" s="22" t="s">
        <v>155</v>
      </c>
      <c r="O70" s="70"/>
    </row>
    <row r="71" spans="1:15" ht="15.75" x14ac:dyDescent="0.25">
      <c r="A71" t="s">
        <v>3</v>
      </c>
      <c r="B71" s="169" t="s">
        <v>25</v>
      </c>
      <c r="C71" s="170"/>
      <c r="D71" s="170"/>
      <c r="E71" s="170"/>
      <c r="F71" s="170"/>
      <c r="G71" s="170"/>
      <c r="H71" s="170"/>
      <c r="I71" s="171"/>
      <c r="J71" s="76">
        <f>SUM(J66:J70)</f>
        <v>1404200</v>
      </c>
      <c r="K71" s="74">
        <f>SUM(K66:K70)</f>
        <v>0</v>
      </c>
      <c r="L71" s="60">
        <f>SUM(L66:L70)</f>
        <v>1600400</v>
      </c>
      <c r="M71" s="60">
        <f>SUM(M66:M70)</f>
        <v>0</v>
      </c>
      <c r="N71" s="39"/>
      <c r="O71" s="75">
        <f>SUM(J71+K71+L71+M71)</f>
        <v>3004600</v>
      </c>
    </row>
    <row r="72" spans="1:15" x14ac:dyDescent="0.25">
      <c r="D72" s="57"/>
      <c r="I72" s="58"/>
      <c r="J72" s="58"/>
    </row>
    <row r="73" spans="1:15" ht="15.75" x14ac:dyDescent="0.25">
      <c r="D73" s="57"/>
      <c r="G73" s="162" t="s">
        <v>1646</v>
      </c>
      <c r="H73" s="162"/>
      <c r="I73" s="163"/>
      <c r="J73" s="25">
        <f>SUM(J71+J64)</f>
        <v>2580800</v>
      </c>
      <c r="K73" s="74">
        <f>SUM(K71+K64)</f>
        <v>4252000</v>
      </c>
      <c r="L73" s="60">
        <f>SUM(L71+L64)</f>
        <v>2167790</v>
      </c>
      <c r="M73" s="60">
        <f>SUM(M71+M64)</f>
        <v>0</v>
      </c>
      <c r="N73" s="39"/>
      <c r="O73" s="77">
        <f>SUM(J73+K73+L73+M73)</f>
        <v>9000590</v>
      </c>
    </row>
    <row r="74" spans="1:15" ht="15.75" x14ac:dyDescent="0.25">
      <c r="D74" s="57"/>
      <c r="H74" s="41"/>
      <c r="I74" s="41"/>
      <c r="J74" s="41"/>
      <c r="K74" s="78"/>
      <c r="L74" s="78"/>
      <c r="M74" s="78"/>
      <c r="N74" s="79"/>
      <c r="O74" s="80"/>
    </row>
    <row r="75" spans="1:15" ht="15.75" x14ac:dyDescent="0.25">
      <c r="D75" s="57"/>
      <c r="H75" s="174" t="s">
        <v>27</v>
      </c>
      <c r="I75" s="175"/>
      <c r="J75" s="180" t="s">
        <v>14</v>
      </c>
      <c r="K75" s="180"/>
      <c r="L75" s="181" t="s">
        <v>15</v>
      </c>
      <c r="M75" s="181"/>
      <c r="N75" s="70"/>
      <c r="O75" s="182"/>
    </row>
    <row r="76" spans="1:15" ht="15.75" x14ac:dyDescent="0.25">
      <c r="D76" s="57"/>
      <c r="H76" s="176"/>
      <c r="I76" s="177"/>
      <c r="J76" s="6" t="s">
        <v>17</v>
      </c>
      <c r="K76" s="81" t="s">
        <v>18</v>
      </c>
      <c r="L76" s="82" t="s">
        <v>17</v>
      </c>
      <c r="M76" s="82" t="s">
        <v>18</v>
      </c>
      <c r="N76" s="70"/>
      <c r="O76" s="182"/>
    </row>
    <row r="77" spans="1:15" ht="15.75" x14ac:dyDescent="0.25">
      <c r="D77" s="57"/>
      <c r="H77" s="178"/>
      <c r="I77" s="179"/>
      <c r="J77" s="74">
        <f>SUM(J52,J73)</f>
        <v>15684500</v>
      </c>
      <c r="K77" s="74">
        <f>SUM(K73+K52)</f>
        <v>4252000</v>
      </c>
      <c r="L77" s="60">
        <f>SUM(L73+L52)</f>
        <v>7412728</v>
      </c>
      <c r="M77" s="60">
        <f>SUM(M73+M52)</f>
        <v>0</v>
      </c>
      <c r="N77" s="39"/>
      <c r="O77" s="182"/>
    </row>
    <row r="78" spans="1:15" x14ac:dyDescent="0.25">
      <c r="D78" s="57"/>
      <c r="I78" s="58"/>
      <c r="J78" s="58"/>
    </row>
    <row r="79" spans="1:15" ht="18.75" x14ac:dyDescent="0.3">
      <c r="D79" s="57"/>
      <c r="H79" s="183"/>
      <c r="I79" s="183"/>
      <c r="J79" s="83"/>
      <c r="L79" s="184" t="s">
        <v>28</v>
      </c>
      <c r="M79" s="185"/>
      <c r="N79" s="84">
        <f>SUM(J77+L77)</f>
        <v>23097228</v>
      </c>
      <c r="O79" s="186">
        <f>SUM(N79+N80)</f>
        <v>27349228</v>
      </c>
    </row>
    <row r="80" spans="1:15" ht="18.75" x14ac:dyDescent="0.3">
      <c r="D80" s="57"/>
      <c r="H80" s="183"/>
      <c r="I80" s="183"/>
      <c r="J80" s="83"/>
      <c r="L80" s="184" t="s">
        <v>29</v>
      </c>
      <c r="M80" s="185"/>
      <c r="N80" s="84">
        <f>SUM(K77+M77)</f>
        <v>4252000</v>
      </c>
      <c r="O80" s="187"/>
    </row>
    <row r="81" spans="4:11" ht="18.75" x14ac:dyDescent="0.3">
      <c r="D81" s="57"/>
      <c r="H81" s="168"/>
      <c r="I81" s="168"/>
      <c r="J81" s="85"/>
      <c r="K81" s="86"/>
    </row>
    <row r="82" spans="4:11" x14ac:dyDescent="0.25">
      <c r="D82" s="2" t="s">
        <v>30</v>
      </c>
      <c r="E82" s="1"/>
      <c r="F82" s="1"/>
      <c r="G82" s="1"/>
      <c r="H82" s="1"/>
      <c r="I82" s="1"/>
      <c r="J82" s="1"/>
      <c r="K82" s="1"/>
    </row>
    <row r="83" spans="4:11" x14ac:dyDescent="0.25">
      <c r="D83" s="2"/>
      <c r="E83" s="1"/>
      <c r="F83" s="1"/>
      <c r="G83" s="1"/>
      <c r="H83" s="1"/>
      <c r="I83" s="1"/>
      <c r="J83" s="1"/>
      <c r="K83" s="1"/>
    </row>
    <row r="84" spans="4:11" x14ac:dyDescent="0.25">
      <c r="D84" s="3" t="s">
        <v>31</v>
      </c>
      <c r="E84" s="3"/>
      <c r="F84" s="3" t="s">
        <v>32</v>
      </c>
      <c r="G84" s="3"/>
      <c r="H84" s="3" t="s">
        <v>33</v>
      </c>
      <c r="I84" s="3"/>
      <c r="J84" s="3" t="s">
        <v>34</v>
      </c>
      <c r="K84" s="3"/>
    </row>
    <row r="85" spans="4:11" x14ac:dyDescent="0.25">
      <c r="D85" s="3"/>
      <c r="E85" s="3"/>
      <c r="F85" s="3"/>
      <c r="G85" s="3"/>
      <c r="H85" s="3"/>
      <c r="I85" s="3"/>
      <c r="J85" s="3"/>
      <c r="K85" s="3"/>
    </row>
    <row r="86" spans="4:11" x14ac:dyDescent="0.25">
      <c r="D86" s="3"/>
      <c r="E86" s="3"/>
      <c r="F86" s="3"/>
      <c r="G86" s="3"/>
      <c r="H86" s="3"/>
      <c r="I86" s="3"/>
      <c r="J86" s="3"/>
      <c r="K86" s="3"/>
    </row>
    <row r="87" spans="4:11" x14ac:dyDescent="0.25">
      <c r="D87" s="3"/>
      <c r="E87" s="3"/>
      <c r="F87" s="3"/>
      <c r="G87" s="3"/>
      <c r="H87" s="3"/>
      <c r="I87" s="3"/>
      <c r="J87" s="3"/>
      <c r="K87" s="3"/>
    </row>
    <row r="88" spans="4:11" x14ac:dyDescent="0.25">
      <c r="D88" s="3" t="s">
        <v>35</v>
      </c>
      <c r="E88" s="3"/>
      <c r="F88" s="3" t="s">
        <v>36</v>
      </c>
      <c r="G88" s="3"/>
      <c r="H88" s="3" t="s">
        <v>36</v>
      </c>
      <c r="I88" s="3"/>
      <c r="J88" s="3" t="s">
        <v>37</v>
      </c>
      <c r="K88" s="3"/>
    </row>
    <row r="89" spans="4:11" x14ac:dyDescent="0.25">
      <c r="D89" s="57"/>
    </row>
    <row r="90" spans="4:11" x14ac:dyDescent="0.25">
      <c r="D90" s="57"/>
    </row>
    <row r="91" spans="4:11" x14ac:dyDescent="0.25">
      <c r="D91" s="57"/>
    </row>
    <row r="92" spans="4:11" x14ac:dyDescent="0.25">
      <c r="D92" s="57"/>
    </row>
    <row r="93" spans="4:11" x14ac:dyDescent="0.25">
      <c r="D93" s="57"/>
    </row>
  </sheetData>
  <mergeCells count="48">
    <mergeCell ref="B20:I20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5:G56"/>
    <mergeCell ref="B21:O21"/>
    <mergeCell ref="B34:I34"/>
    <mergeCell ref="B35:O35"/>
    <mergeCell ref="B49:I49"/>
    <mergeCell ref="G52:I52"/>
    <mergeCell ref="B54:D54"/>
    <mergeCell ref="B55:B56"/>
    <mergeCell ref="C55:C56"/>
    <mergeCell ref="D55:D56"/>
    <mergeCell ref="E55:E56"/>
    <mergeCell ref="F55:F56"/>
    <mergeCell ref="H55:H56"/>
    <mergeCell ref="I55:I56"/>
    <mergeCell ref="J55:N55"/>
    <mergeCell ref="O55:O56"/>
    <mergeCell ref="G73:I73"/>
    <mergeCell ref="J56:K56"/>
    <mergeCell ref="L56:M56"/>
    <mergeCell ref="H81:I81"/>
    <mergeCell ref="B64:I64"/>
    <mergeCell ref="B65:O65"/>
    <mergeCell ref="B71:I71"/>
    <mergeCell ref="H75:I77"/>
    <mergeCell ref="J75:K75"/>
    <mergeCell ref="L75:M75"/>
    <mergeCell ref="O75:O77"/>
    <mergeCell ref="H79:I79"/>
    <mergeCell ref="L79:M79"/>
    <mergeCell ref="O79:O80"/>
    <mergeCell ref="H80:I80"/>
    <mergeCell ref="L80:M80"/>
  </mergeCells>
  <pageMargins left="0" right="0" top="0" bottom="0" header="0" footer="0"/>
  <pageSetup paperSize="9" scale="6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0A65-D6C0-497C-A889-887F3DD9E788}">
  <dimension ref="A2:Q86"/>
  <sheetViews>
    <sheetView topLeftCell="A49" workbookViewId="0">
      <selection activeCell="G66" sqref="G66:I6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159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160</v>
      </c>
      <c r="E9" s="14" t="s">
        <v>40</v>
      </c>
      <c r="F9" s="15" t="s">
        <v>41</v>
      </c>
      <c r="G9" s="16">
        <v>46136</v>
      </c>
      <c r="H9" s="16">
        <v>46149</v>
      </c>
      <c r="I9" s="17">
        <v>1000000</v>
      </c>
      <c r="J9" s="18">
        <v>500000</v>
      </c>
      <c r="K9" s="19"/>
      <c r="L9" s="20"/>
      <c r="M9" s="20"/>
      <c r="N9" s="21" t="s">
        <v>158</v>
      </c>
      <c r="O9" s="22"/>
    </row>
    <row r="10" spans="2:17" x14ac:dyDescent="0.25">
      <c r="B10" s="11">
        <v>2</v>
      </c>
      <c r="C10" s="12"/>
      <c r="D10" s="13" t="s">
        <v>161</v>
      </c>
      <c r="E10" s="14" t="s">
        <v>162</v>
      </c>
      <c r="F10" s="15" t="s">
        <v>163</v>
      </c>
      <c r="G10" s="16">
        <v>46148</v>
      </c>
      <c r="H10" s="16">
        <v>46161</v>
      </c>
      <c r="I10" s="23">
        <v>330200</v>
      </c>
      <c r="J10" s="18">
        <v>200000</v>
      </c>
      <c r="K10" s="19"/>
      <c r="L10" s="24"/>
      <c r="M10" s="24"/>
      <c r="N10" s="22" t="s">
        <v>158</v>
      </c>
      <c r="O10" s="22"/>
    </row>
    <row r="11" spans="2:17" x14ac:dyDescent="0.25">
      <c r="B11" s="11">
        <v>3</v>
      </c>
      <c r="C11" s="12"/>
      <c r="D11" s="13" t="s">
        <v>164</v>
      </c>
      <c r="E11" s="14" t="s">
        <v>165</v>
      </c>
      <c r="F11" s="15" t="s">
        <v>163</v>
      </c>
      <c r="G11" s="16">
        <v>46148</v>
      </c>
      <c r="H11" s="16">
        <v>46161</v>
      </c>
      <c r="I11" s="23">
        <v>543000</v>
      </c>
      <c r="J11" s="18">
        <v>150000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166</v>
      </c>
      <c r="E12" s="14" t="s">
        <v>167</v>
      </c>
      <c r="F12" s="15" t="s">
        <v>168</v>
      </c>
      <c r="G12" s="16">
        <v>46148</v>
      </c>
      <c r="H12" s="16">
        <v>46161</v>
      </c>
      <c r="I12" s="23">
        <v>177900</v>
      </c>
      <c r="J12" s="18">
        <f t="shared" ref="J12:J17" si="0">I12</f>
        <v>177900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169</v>
      </c>
      <c r="E13" s="14" t="s">
        <v>170</v>
      </c>
      <c r="F13" s="15" t="s">
        <v>135</v>
      </c>
      <c r="G13" s="16">
        <v>46151</v>
      </c>
      <c r="H13" s="16">
        <v>46164</v>
      </c>
      <c r="I13" s="23">
        <v>16395000</v>
      </c>
      <c r="J13" s="18"/>
      <c r="K13" s="19">
        <v>16395000</v>
      </c>
      <c r="L13" s="24"/>
      <c r="M13" s="24"/>
      <c r="N13" s="22" t="s">
        <v>242</v>
      </c>
      <c r="O13" s="22"/>
    </row>
    <row r="14" spans="2:17" x14ac:dyDescent="0.25">
      <c r="B14" s="11">
        <v>6</v>
      </c>
      <c r="C14" s="12"/>
      <c r="D14" s="13" t="s">
        <v>171</v>
      </c>
      <c r="E14" s="14" t="s">
        <v>172</v>
      </c>
      <c r="F14" s="15" t="s">
        <v>163</v>
      </c>
      <c r="G14" s="16">
        <v>46162</v>
      </c>
      <c r="H14" s="16">
        <v>46175</v>
      </c>
      <c r="I14" s="23">
        <v>215100</v>
      </c>
      <c r="J14" s="18">
        <f t="shared" si="0"/>
        <v>215100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173</v>
      </c>
      <c r="E15" s="14" t="s">
        <v>174</v>
      </c>
      <c r="F15" s="15" t="s">
        <v>175</v>
      </c>
      <c r="G15" s="16">
        <v>46162</v>
      </c>
      <c r="H15" s="16">
        <v>46175</v>
      </c>
      <c r="I15" s="23">
        <v>430200</v>
      </c>
      <c r="J15" s="18">
        <v>150000</v>
      </c>
      <c r="K15" s="19"/>
      <c r="L15" s="24"/>
      <c r="M15" s="24"/>
      <c r="N15" s="22" t="s">
        <v>158</v>
      </c>
      <c r="O15" s="22"/>
    </row>
    <row r="16" spans="2:17" x14ac:dyDescent="0.25">
      <c r="B16" s="11">
        <v>8</v>
      </c>
      <c r="C16" s="12"/>
      <c r="D16" s="13" t="s">
        <v>176</v>
      </c>
      <c r="E16" s="14" t="s">
        <v>177</v>
      </c>
      <c r="F16" s="15" t="s">
        <v>163</v>
      </c>
      <c r="G16" s="16">
        <v>46162</v>
      </c>
      <c r="H16" s="16">
        <v>46175</v>
      </c>
      <c r="I16" s="23">
        <v>1075500</v>
      </c>
      <c r="J16" s="18">
        <f t="shared" si="0"/>
        <v>1075500</v>
      </c>
      <c r="K16" s="19"/>
      <c r="L16" s="24"/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178</v>
      </c>
      <c r="E17" s="14" t="s">
        <v>179</v>
      </c>
      <c r="F17" s="15" t="s">
        <v>180</v>
      </c>
      <c r="G17" s="16">
        <v>46162</v>
      </c>
      <c r="H17" s="16">
        <v>46175</v>
      </c>
      <c r="I17" s="23">
        <v>215100</v>
      </c>
      <c r="J17" s="18">
        <f t="shared" si="0"/>
        <v>215100</v>
      </c>
      <c r="K17" s="19"/>
      <c r="L17" s="24"/>
      <c r="M17" s="24"/>
      <c r="N17" s="22" t="s">
        <v>155</v>
      </c>
      <c r="O17" s="22"/>
    </row>
    <row r="18" spans="2:15" x14ac:dyDescent="0.25">
      <c r="B18" s="11">
        <v>10</v>
      </c>
      <c r="C18" s="12"/>
      <c r="D18" s="13" t="s">
        <v>181</v>
      </c>
      <c r="E18" s="14" t="s">
        <v>172</v>
      </c>
      <c r="F18" s="15" t="s">
        <v>163</v>
      </c>
      <c r="G18" s="16">
        <v>46162</v>
      </c>
      <c r="H18" s="16">
        <v>46175</v>
      </c>
      <c r="I18" s="23">
        <v>190000</v>
      </c>
      <c r="J18" s="18"/>
      <c r="K18" s="19"/>
      <c r="L18" s="24">
        <f t="shared" ref="L18:L19" si="1">I18</f>
        <v>190000</v>
      </c>
      <c r="M18" s="24"/>
      <c r="N18" s="22" t="s">
        <v>155</v>
      </c>
      <c r="O18" s="22"/>
    </row>
    <row r="19" spans="2:15" x14ac:dyDescent="0.25">
      <c r="B19" s="11">
        <v>11</v>
      </c>
      <c r="C19" s="12"/>
      <c r="D19" s="13" t="s">
        <v>182</v>
      </c>
      <c r="E19" s="14" t="s">
        <v>177</v>
      </c>
      <c r="F19" s="15" t="s">
        <v>163</v>
      </c>
      <c r="G19" s="16">
        <v>46162</v>
      </c>
      <c r="H19" s="16">
        <v>46175</v>
      </c>
      <c r="I19" s="23">
        <v>720000</v>
      </c>
      <c r="J19" s="18"/>
      <c r="K19" s="19"/>
      <c r="L19" s="24">
        <f t="shared" si="1"/>
        <v>720000</v>
      </c>
      <c r="M19" s="24"/>
      <c r="N19" s="22" t="s">
        <v>155</v>
      </c>
      <c r="O19" s="22"/>
    </row>
    <row r="20" spans="2:15" ht="15.75" x14ac:dyDescent="0.25">
      <c r="B20" s="169" t="s">
        <v>13</v>
      </c>
      <c r="C20" s="170"/>
      <c r="D20" s="170"/>
      <c r="E20" s="170"/>
      <c r="F20" s="170"/>
      <c r="G20" s="170"/>
      <c r="H20" s="170"/>
      <c r="I20" s="171"/>
      <c r="J20" s="25">
        <f>SUM(J9:J19)</f>
        <v>2683600</v>
      </c>
      <c r="K20" s="26">
        <f>SUM(K9:K19)</f>
        <v>16395000</v>
      </c>
      <c r="L20" s="27">
        <f>SUM(L9:L19)</f>
        <v>910000</v>
      </c>
      <c r="M20" s="28">
        <f>SUM(M9:M19)</f>
        <v>0</v>
      </c>
      <c r="N20" s="29"/>
      <c r="O20" s="30">
        <f>SUM(J20+K20+L20+M20)</f>
        <v>19988600</v>
      </c>
    </row>
    <row r="21" spans="2:15" ht="15.75" x14ac:dyDescent="0.25"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</row>
    <row r="22" spans="2:15" x14ac:dyDescent="0.25">
      <c r="B22" s="11">
        <v>1</v>
      </c>
      <c r="C22" s="31" t="s">
        <v>20</v>
      </c>
      <c r="D22" s="13" t="s">
        <v>183</v>
      </c>
      <c r="E22" s="32" t="s">
        <v>184</v>
      </c>
      <c r="F22" s="33" t="s">
        <v>66</v>
      </c>
      <c r="G22" s="34">
        <v>46147</v>
      </c>
      <c r="H22" s="35">
        <v>46160</v>
      </c>
      <c r="I22" s="36">
        <v>327900</v>
      </c>
      <c r="J22" s="37">
        <f>I22</f>
        <v>327900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2</v>
      </c>
      <c r="C23" s="31"/>
      <c r="D23" s="13" t="s">
        <v>69</v>
      </c>
      <c r="E23" s="32" t="s">
        <v>70</v>
      </c>
      <c r="F23" s="33" t="s">
        <v>71</v>
      </c>
      <c r="G23" s="34">
        <v>46147</v>
      </c>
      <c r="H23" s="35">
        <v>46160</v>
      </c>
      <c r="I23" s="36">
        <v>65100</v>
      </c>
      <c r="J23" s="37">
        <f t="shared" ref="J23:J28" si="2">I23</f>
        <v>65100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3</v>
      </c>
      <c r="C24" s="31"/>
      <c r="D24" s="13" t="s">
        <v>185</v>
      </c>
      <c r="E24" s="32" t="s">
        <v>186</v>
      </c>
      <c r="F24" s="33" t="s">
        <v>187</v>
      </c>
      <c r="G24" s="34">
        <v>46148</v>
      </c>
      <c r="H24" s="35">
        <v>46161</v>
      </c>
      <c r="I24" s="36">
        <v>2203500</v>
      </c>
      <c r="J24" s="37">
        <f t="shared" si="2"/>
        <v>2203500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4</v>
      </c>
      <c r="C25" s="31"/>
      <c r="D25" s="13" t="s">
        <v>188</v>
      </c>
      <c r="E25" s="32" t="s">
        <v>189</v>
      </c>
      <c r="F25" s="33" t="s">
        <v>190</v>
      </c>
      <c r="G25" s="34">
        <v>46162</v>
      </c>
      <c r="H25" s="35">
        <v>46175</v>
      </c>
      <c r="I25" s="36">
        <v>113600</v>
      </c>
      <c r="J25" s="37">
        <f t="shared" si="2"/>
        <v>113600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5</v>
      </c>
      <c r="C26" s="31"/>
      <c r="D26" s="13" t="s">
        <v>191</v>
      </c>
      <c r="E26" s="32" t="s">
        <v>192</v>
      </c>
      <c r="F26" s="33" t="s">
        <v>190</v>
      </c>
      <c r="G26" s="34">
        <v>46162</v>
      </c>
      <c r="H26" s="35">
        <v>46175</v>
      </c>
      <c r="I26" s="36">
        <v>454400</v>
      </c>
      <c r="J26" s="37">
        <f t="shared" si="2"/>
        <v>454400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6</v>
      </c>
      <c r="C27" s="31"/>
      <c r="D27" s="13" t="s">
        <v>193</v>
      </c>
      <c r="E27" s="32" t="s">
        <v>194</v>
      </c>
      <c r="F27" s="33" t="s">
        <v>195</v>
      </c>
      <c r="G27" s="34">
        <v>46162</v>
      </c>
      <c r="H27" s="35">
        <v>46175</v>
      </c>
      <c r="I27" s="36">
        <v>215100</v>
      </c>
      <c r="J27" s="37">
        <f t="shared" si="2"/>
        <v>215100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7</v>
      </c>
      <c r="C28" s="31"/>
      <c r="D28" s="13" t="s">
        <v>196</v>
      </c>
      <c r="E28" s="32" t="s">
        <v>197</v>
      </c>
      <c r="F28" s="33" t="s">
        <v>187</v>
      </c>
      <c r="G28" s="34">
        <v>46162</v>
      </c>
      <c r="H28" s="35">
        <v>46175</v>
      </c>
      <c r="I28" s="36">
        <v>974000</v>
      </c>
      <c r="J28" s="37">
        <f t="shared" si="2"/>
        <v>974000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8</v>
      </c>
      <c r="C29" s="31"/>
      <c r="D29" s="13" t="s">
        <v>198</v>
      </c>
      <c r="E29" s="32" t="s">
        <v>199</v>
      </c>
      <c r="F29" s="33" t="s">
        <v>187</v>
      </c>
      <c r="G29" s="34">
        <v>46162</v>
      </c>
      <c r="H29" s="35">
        <v>46175</v>
      </c>
      <c r="I29" s="36">
        <v>543800</v>
      </c>
      <c r="J29" s="37">
        <v>300000</v>
      </c>
      <c r="K29" s="19"/>
      <c r="L29" s="24"/>
      <c r="M29" s="24"/>
      <c r="N29" s="22" t="s">
        <v>158</v>
      </c>
      <c r="O29" s="22"/>
    </row>
    <row r="30" spans="2:15" x14ac:dyDescent="0.25">
      <c r="B30" s="11">
        <v>9</v>
      </c>
      <c r="C30" s="31"/>
      <c r="D30" s="13" t="s">
        <v>200</v>
      </c>
      <c r="E30" s="32" t="s">
        <v>186</v>
      </c>
      <c r="F30" s="33" t="s">
        <v>187</v>
      </c>
      <c r="G30" s="34">
        <v>46148</v>
      </c>
      <c r="H30" s="35">
        <v>46161</v>
      </c>
      <c r="I30" s="36">
        <v>342780</v>
      </c>
      <c r="J30" s="37"/>
      <c r="K30" s="19"/>
      <c r="L30" s="24">
        <f>I30</f>
        <v>342780</v>
      </c>
      <c r="M30" s="24"/>
      <c r="N30" s="22" t="s">
        <v>155</v>
      </c>
      <c r="O30" s="22"/>
    </row>
    <row r="31" spans="2:15" x14ac:dyDescent="0.25">
      <c r="B31" s="11">
        <v>10</v>
      </c>
      <c r="C31" s="31"/>
      <c r="D31" s="13" t="s">
        <v>201</v>
      </c>
      <c r="E31" s="32" t="s">
        <v>189</v>
      </c>
      <c r="F31" s="33" t="s">
        <v>190</v>
      </c>
      <c r="G31" s="34">
        <v>46162</v>
      </c>
      <c r="H31" s="35">
        <v>46175</v>
      </c>
      <c r="I31" s="36">
        <v>34278</v>
      </c>
      <c r="J31" s="37"/>
      <c r="K31" s="19"/>
      <c r="L31" s="24">
        <f t="shared" ref="L31:L33" si="3">I31</f>
        <v>34278</v>
      </c>
      <c r="M31" s="24"/>
      <c r="N31" s="22" t="s">
        <v>155</v>
      </c>
      <c r="O31" s="22"/>
    </row>
    <row r="32" spans="2:15" x14ac:dyDescent="0.25">
      <c r="B32" s="11">
        <v>11</v>
      </c>
      <c r="C32" s="31"/>
      <c r="D32" s="13" t="s">
        <v>202</v>
      </c>
      <c r="E32" s="32" t="s">
        <v>197</v>
      </c>
      <c r="F32" s="33" t="s">
        <v>187</v>
      </c>
      <c r="G32" s="34">
        <v>46162</v>
      </c>
      <c r="H32" s="35">
        <v>46175</v>
      </c>
      <c r="I32" s="36">
        <v>68556</v>
      </c>
      <c r="J32" s="37"/>
      <c r="K32" s="19"/>
      <c r="L32" s="24">
        <f t="shared" si="3"/>
        <v>68556</v>
      </c>
      <c r="M32" s="24"/>
      <c r="N32" s="22" t="s">
        <v>155</v>
      </c>
      <c r="O32" s="22"/>
    </row>
    <row r="33" spans="2:15" x14ac:dyDescent="0.25">
      <c r="B33" s="11">
        <v>12</v>
      </c>
      <c r="C33" s="31"/>
      <c r="D33" s="13" t="s">
        <v>203</v>
      </c>
      <c r="E33" s="32" t="s">
        <v>199</v>
      </c>
      <c r="F33" s="33" t="s">
        <v>187</v>
      </c>
      <c r="G33" s="34">
        <v>46162</v>
      </c>
      <c r="H33" s="35">
        <v>46175</v>
      </c>
      <c r="I33" s="36">
        <v>34278</v>
      </c>
      <c r="J33" s="37"/>
      <c r="K33" s="19"/>
      <c r="L33" s="24">
        <f t="shared" si="3"/>
        <v>34278</v>
      </c>
      <c r="M33" s="24"/>
      <c r="N33" s="22" t="s">
        <v>155</v>
      </c>
      <c r="O33" s="22"/>
    </row>
    <row r="34" spans="2:15" ht="15.75" x14ac:dyDescent="0.25">
      <c r="B34" s="192" t="s">
        <v>13</v>
      </c>
      <c r="C34" s="193"/>
      <c r="D34" s="193"/>
      <c r="E34" s="193"/>
      <c r="F34" s="193"/>
      <c r="G34" s="193"/>
      <c r="H34" s="193"/>
      <c r="I34" s="194"/>
      <c r="J34" s="38">
        <f>SUM(J22:J33)</f>
        <v>4653600</v>
      </c>
      <c r="K34" s="26">
        <f>SUM(K22:K33)</f>
        <v>0</v>
      </c>
      <c r="L34" s="27">
        <f>SUM(L22:L33)</f>
        <v>479892</v>
      </c>
      <c r="M34" s="27">
        <f>SUM(M22:M33)</f>
        <v>0</v>
      </c>
      <c r="N34" s="39"/>
      <c r="O34" s="40">
        <f>SUM(J34+K34+L34+M34)</f>
        <v>5133492</v>
      </c>
    </row>
    <row r="35" spans="2:15" ht="15.75" x14ac:dyDescent="0.25">
      <c r="B35" s="195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</row>
    <row r="36" spans="2:15" ht="15.75" x14ac:dyDescent="0.25">
      <c r="B36" s="42">
        <v>1</v>
      </c>
      <c r="C36" s="43" t="s">
        <v>21</v>
      </c>
      <c r="D36" s="44" t="s">
        <v>204</v>
      </c>
      <c r="E36" s="45" t="s">
        <v>205</v>
      </c>
      <c r="F36" s="45" t="s">
        <v>206</v>
      </c>
      <c r="G36" s="46">
        <v>46162</v>
      </c>
      <c r="H36" s="46">
        <v>46175</v>
      </c>
      <c r="I36" s="47">
        <v>215100</v>
      </c>
      <c r="J36" s="48">
        <f>I36</f>
        <v>215100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2</v>
      </c>
      <c r="C37" s="43"/>
      <c r="D37" s="44" t="s">
        <v>207</v>
      </c>
      <c r="E37" s="45" t="s">
        <v>165</v>
      </c>
      <c r="F37" s="45" t="s">
        <v>208</v>
      </c>
      <c r="G37" s="46">
        <v>46162</v>
      </c>
      <c r="H37" s="46">
        <v>46175</v>
      </c>
      <c r="I37" s="47">
        <v>328700</v>
      </c>
      <c r="J37" s="48">
        <f t="shared" ref="J37:J38" si="4">I37</f>
        <v>328700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3</v>
      </c>
      <c r="C38" s="43"/>
      <c r="D38" s="44" t="s">
        <v>209</v>
      </c>
      <c r="E38" s="45" t="s">
        <v>210</v>
      </c>
      <c r="F38" s="45" t="s">
        <v>211</v>
      </c>
      <c r="G38" s="46">
        <v>46162</v>
      </c>
      <c r="H38" s="46">
        <v>46175</v>
      </c>
      <c r="I38" s="47">
        <v>1416300</v>
      </c>
      <c r="J38" s="48">
        <f t="shared" si="4"/>
        <v>1416300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4</v>
      </c>
      <c r="C39" s="43"/>
      <c r="D39" s="44" t="s">
        <v>212</v>
      </c>
      <c r="E39" s="45" t="s">
        <v>210</v>
      </c>
      <c r="F39" s="45" t="s">
        <v>211</v>
      </c>
      <c r="G39" s="46">
        <v>46162</v>
      </c>
      <c r="H39" s="46">
        <v>46175</v>
      </c>
      <c r="I39" s="47">
        <v>191056</v>
      </c>
      <c r="J39" s="48"/>
      <c r="K39" s="49"/>
      <c r="L39" s="51">
        <f>I39</f>
        <v>191056</v>
      </c>
      <c r="M39" s="50"/>
      <c r="N39" s="22" t="s">
        <v>155</v>
      </c>
      <c r="O39" s="42"/>
    </row>
    <row r="40" spans="2:15" ht="15.75" x14ac:dyDescent="0.25">
      <c r="B40" s="42">
        <v>5</v>
      </c>
      <c r="C40" s="43"/>
      <c r="D40" s="44" t="s">
        <v>213</v>
      </c>
      <c r="E40" s="45" t="s">
        <v>214</v>
      </c>
      <c r="F40" s="45" t="s">
        <v>215</v>
      </c>
      <c r="G40" s="46">
        <v>46162</v>
      </c>
      <c r="H40" s="46">
        <v>46175</v>
      </c>
      <c r="I40" s="47">
        <v>559744</v>
      </c>
      <c r="J40" s="48"/>
      <c r="K40" s="49"/>
      <c r="L40" s="51">
        <v>553994</v>
      </c>
      <c r="M40" s="50"/>
      <c r="N40" s="22" t="s">
        <v>244</v>
      </c>
      <c r="O40" s="42"/>
    </row>
    <row r="41" spans="2:15" ht="15.75" x14ac:dyDescent="0.25">
      <c r="B41" s="42">
        <v>6</v>
      </c>
      <c r="C41" s="43"/>
      <c r="D41" s="44" t="s">
        <v>216</v>
      </c>
      <c r="E41" s="45" t="s">
        <v>217</v>
      </c>
      <c r="F41" s="45" t="s">
        <v>218</v>
      </c>
      <c r="G41" s="46">
        <v>46162</v>
      </c>
      <c r="H41" s="46">
        <v>46175</v>
      </c>
      <c r="I41" s="47">
        <v>163610</v>
      </c>
      <c r="J41" s="48"/>
      <c r="K41" s="49"/>
      <c r="L41" s="51">
        <f t="shared" ref="L41" si="5">I41</f>
        <v>163610</v>
      </c>
      <c r="M41" s="50"/>
      <c r="N41" s="22" t="s">
        <v>155</v>
      </c>
      <c r="O41" s="42"/>
    </row>
    <row r="42" spans="2:15" ht="15.75" x14ac:dyDescent="0.25">
      <c r="B42" s="197" t="s">
        <v>13</v>
      </c>
      <c r="C42" s="198"/>
      <c r="D42" s="198"/>
      <c r="E42" s="198"/>
      <c r="F42" s="198"/>
      <c r="G42" s="198"/>
      <c r="H42" s="198"/>
      <c r="I42" s="199"/>
      <c r="J42" s="52">
        <f>SUM(J36:J41)</f>
        <v>1960100</v>
      </c>
      <c r="K42" s="53">
        <f>SUM(K36:K41)</f>
        <v>0</v>
      </c>
      <c r="L42" s="54">
        <f>SUM(L36:L41)</f>
        <v>908660</v>
      </c>
      <c r="M42" s="54">
        <f>SUM(M36:M41)</f>
        <v>0</v>
      </c>
      <c r="N42" s="55"/>
      <c r="O42" s="56">
        <f>SUM(J42+K42+L42+M42)</f>
        <v>2868760</v>
      </c>
    </row>
    <row r="43" spans="2:15" x14ac:dyDescent="0.25">
      <c r="D43" s="57"/>
      <c r="I43" s="58"/>
      <c r="J43" s="58"/>
    </row>
    <row r="44" spans="2:15" x14ac:dyDescent="0.25">
      <c r="D44" s="57"/>
      <c r="I44" s="58"/>
      <c r="J44" s="58"/>
    </row>
    <row r="45" spans="2:15" ht="15.75" x14ac:dyDescent="0.25">
      <c r="D45" s="57"/>
      <c r="G45" s="200" t="s">
        <v>22</v>
      </c>
      <c r="H45" s="200"/>
      <c r="I45" s="200"/>
      <c r="J45" s="59">
        <f>SUM(J42+J34+J20)</f>
        <v>9297300</v>
      </c>
      <c r="K45" s="26">
        <f>SUM(K42+K34+K20)</f>
        <v>16395000</v>
      </c>
      <c r="L45" s="60">
        <f>SUM(L42+L34+L20)</f>
        <v>2298552</v>
      </c>
      <c r="M45" s="60">
        <f>SUM(M42+M34+M20)</f>
        <v>0</v>
      </c>
      <c r="N45" s="39"/>
      <c r="O45" s="30">
        <f>SUM(J45+K45+L45+M45)</f>
        <v>27990852</v>
      </c>
    </row>
    <row r="46" spans="2:15" x14ac:dyDescent="0.25">
      <c r="D46" s="57"/>
      <c r="I46" s="58"/>
      <c r="J46" s="58"/>
    </row>
    <row r="47" spans="2:15" x14ac:dyDescent="0.25">
      <c r="B47" s="201" t="s">
        <v>17</v>
      </c>
      <c r="C47" s="201"/>
      <c r="D47" s="201"/>
      <c r="I47" s="58"/>
      <c r="J47" s="58"/>
    </row>
    <row r="48" spans="2:15" ht="15.75" x14ac:dyDescent="0.25">
      <c r="B48" s="188" t="s">
        <v>4</v>
      </c>
      <c r="C48" s="202" t="s">
        <v>23</v>
      </c>
      <c r="D48" s="188" t="s">
        <v>6</v>
      </c>
      <c r="E48" s="188" t="s">
        <v>7</v>
      </c>
      <c r="F48" s="188" t="s">
        <v>8</v>
      </c>
      <c r="G48" s="188" t="s">
        <v>9</v>
      </c>
      <c r="H48" s="188" t="s">
        <v>10</v>
      </c>
      <c r="I48" s="202" t="s">
        <v>24</v>
      </c>
      <c r="J48" s="169" t="s">
        <v>12</v>
      </c>
      <c r="K48" s="170"/>
      <c r="L48" s="170"/>
      <c r="M48" s="170"/>
      <c r="N48" s="171"/>
      <c r="O48" s="204" t="s">
        <v>13</v>
      </c>
    </row>
    <row r="49" spans="1:15" ht="15.75" x14ac:dyDescent="0.25">
      <c r="B49" s="189"/>
      <c r="C49" s="203"/>
      <c r="D49" s="189"/>
      <c r="E49" s="189"/>
      <c r="F49" s="189"/>
      <c r="G49" s="189"/>
      <c r="H49" s="189"/>
      <c r="I49" s="203"/>
      <c r="J49" s="164" t="s">
        <v>14</v>
      </c>
      <c r="K49" s="165"/>
      <c r="L49" s="166" t="s">
        <v>15</v>
      </c>
      <c r="M49" s="167"/>
      <c r="N49" s="4" t="s">
        <v>16</v>
      </c>
      <c r="O49" s="205"/>
    </row>
    <row r="50" spans="1:15" ht="15.75" x14ac:dyDescent="0.25">
      <c r="B50" s="5"/>
      <c r="C50" s="61"/>
      <c r="D50" s="5"/>
      <c r="E50" s="5"/>
      <c r="F50" s="5"/>
      <c r="G50" s="5"/>
      <c r="H50" s="5"/>
      <c r="I50" s="61"/>
      <c r="J50" s="62" t="s">
        <v>17</v>
      </c>
      <c r="K50" s="6" t="s">
        <v>18</v>
      </c>
      <c r="L50" s="10" t="s">
        <v>17</v>
      </c>
      <c r="M50" s="10" t="s">
        <v>18</v>
      </c>
      <c r="N50" s="4"/>
      <c r="O50" s="7"/>
    </row>
    <row r="51" spans="1:15" ht="15" customHeight="1" x14ac:dyDescent="0.25">
      <c r="B51" s="63">
        <v>1</v>
      </c>
      <c r="C51" s="43" t="s">
        <v>154</v>
      </c>
      <c r="D51" s="64" t="s">
        <v>219</v>
      </c>
      <c r="E51" s="65" t="s">
        <v>220</v>
      </c>
      <c r="F51" s="65" t="s">
        <v>221</v>
      </c>
      <c r="G51" s="66">
        <v>46175</v>
      </c>
      <c r="H51" s="66"/>
      <c r="I51" s="67">
        <v>430200</v>
      </c>
      <c r="J51" s="37">
        <f>I51</f>
        <v>430200</v>
      </c>
      <c r="K51" s="68"/>
      <c r="L51" s="69"/>
      <c r="M51" s="69"/>
      <c r="N51" s="22" t="s">
        <v>155</v>
      </c>
      <c r="O51" s="70"/>
    </row>
    <row r="52" spans="1:15" ht="15" customHeight="1" x14ac:dyDescent="0.25">
      <c r="B52" s="63">
        <v>2</v>
      </c>
      <c r="C52" s="43" t="s">
        <v>154</v>
      </c>
      <c r="D52" s="71" t="s">
        <v>222</v>
      </c>
      <c r="E52" s="71" t="s">
        <v>223</v>
      </c>
      <c r="F52" s="70" t="s">
        <v>110</v>
      </c>
      <c r="G52" s="66">
        <v>46175</v>
      </c>
      <c r="H52" s="72"/>
      <c r="I52" s="22">
        <v>1193300</v>
      </c>
      <c r="J52" s="37">
        <f t="shared" ref="J52:J53" si="6">I52</f>
        <v>1193300</v>
      </c>
      <c r="K52" s="68"/>
      <c r="L52" s="24"/>
      <c r="M52" s="69"/>
      <c r="N52" s="22" t="s">
        <v>155</v>
      </c>
      <c r="O52" s="70"/>
    </row>
    <row r="53" spans="1:15" ht="15" customHeight="1" x14ac:dyDescent="0.25">
      <c r="B53" s="63">
        <v>3</v>
      </c>
      <c r="C53" s="43" t="s">
        <v>154</v>
      </c>
      <c r="D53" s="71" t="s">
        <v>224</v>
      </c>
      <c r="E53" s="71" t="s">
        <v>125</v>
      </c>
      <c r="F53" s="70" t="s">
        <v>110</v>
      </c>
      <c r="G53" s="66">
        <v>46175</v>
      </c>
      <c r="H53" s="72"/>
      <c r="I53" s="22">
        <v>1111000</v>
      </c>
      <c r="J53" s="37">
        <f t="shared" si="6"/>
        <v>1111000</v>
      </c>
      <c r="K53" s="68"/>
      <c r="L53" s="24"/>
      <c r="M53" s="69"/>
      <c r="N53" s="22" t="s">
        <v>155</v>
      </c>
      <c r="O53" s="70"/>
    </row>
    <row r="54" spans="1:15" ht="15" customHeight="1" x14ac:dyDescent="0.25">
      <c r="B54" s="63">
        <v>4</v>
      </c>
      <c r="C54" s="43" t="s">
        <v>154</v>
      </c>
      <c r="D54" s="71" t="s">
        <v>225</v>
      </c>
      <c r="E54" s="71" t="s">
        <v>223</v>
      </c>
      <c r="F54" s="70" t="s">
        <v>110</v>
      </c>
      <c r="G54" s="66">
        <v>46175</v>
      </c>
      <c r="H54" s="72"/>
      <c r="I54" s="22">
        <v>138996</v>
      </c>
      <c r="J54" s="37"/>
      <c r="K54" s="68"/>
      <c r="L54" s="24">
        <f>I54</f>
        <v>138996</v>
      </c>
      <c r="M54" s="69"/>
      <c r="N54" s="22" t="s">
        <v>155</v>
      </c>
      <c r="O54" s="70"/>
    </row>
    <row r="55" spans="1:15" ht="15" customHeight="1" x14ac:dyDescent="0.25">
      <c r="B55" s="63">
        <v>5</v>
      </c>
      <c r="C55" s="43" t="s">
        <v>154</v>
      </c>
      <c r="D55" s="71" t="s">
        <v>226</v>
      </c>
      <c r="E55" s="71" t="s">
        <v>227</v>
      </c>
      <c r="F55" s="70" t="s">
        <v>228</v>
      </c>
      <c r="G55" s="66">
        <v>46175</v>
      </c>
      <c r="H55" s="72"/>
      <c r="I55" s="22">
        <v>174000</v>
      </c>
      <c r="J55" s="37"/>
      <c r="K55" s="68"/>
      <c r="L55" s="24">
        <f t="shared" ref="L55" si="7">I55</f>
        <v>174000</v>
      </c>
      <c r="M55" s="69"/>
      <c r="N55" s="22" t="s">
        <v>155</v>
      </c>
      <c r="O55" s="70"/>
    </row>
    <row r="56" spans="1:15" ht="15" customHeight="1" x14ac:dyDescent="0.25">
      <c r="B56" s="63">
        <v>6</v>
      </c>
      <c r="C56" s="12" t="s">
        <v>243</v>
      </c>
      <c r="D56" s="71" t="s">
        <v>234</v>
      </c>
      <c r="E56" s="71" t="s">
        <v>235</v>
      </c>
      <c r="F56" s="70" t="s">
        <v>71</v>
      </c>
      <c r="G56" s="66">
        <v>46175</v>
      </c>
      <c r="H56" s="72"/>
      <c r="I56" s="22">
        <v>1063000</v>
      </c>
      <c r="J56" s="73">
        <f t="shared" ref="J56:J58" si="8">I56</f>
        <v>1063000</v>
      </c>
      <c r="K56" s="68"/>
      <c r="L56" s="69"/>
      <c r="M56" s="69"/>
      <c r="N56" s="22" t="s">
        <v>155</v>
      </c>
      <c r="O56" s="70"/>
    </row>
    <row r="57" spans="1:15" ht="15" customHeight="1" x14ac:dyDescent="0.25">
      <c r="B57" s="63">
        <v>7</v>
      </c>
      <c r="C57" s="12" t="s">
        <v>243</v>
      </c>
      <c r="D57" s="71" t="s">
        <v>236</v>
      </c>
      <c r="E57" s="71" t="s">
        <v>237</v>
      </c>
      <c r="F57" s="70" t="s">
        <v>75</v>
      </c>
      <c r="G57" s="66">
        <v>46175</v>
      </c>
      <c r="H57" s="72"/>
      <c r="I57" s="22">
        <v>758500</v>
      </c>
      <c r="J57" s="73">
        <f t="shared" si="8"/>
        <v>758500</v>
      </c>
      <c r="K57" s="68"/>
      <c r="L57" s="69"/>
      <c r="M57" s="69"/>
      <c r="N57" s="22" t="s">
        <v>155</v>
      </c>
      <c r="O57" s="70"/>
    </row>
    <row r="58" spans="1:15" ht="15" customHeight="1" x14ac:dyDescent="0.25">
      <c r="B58" s="63">
        <v>8</v>
      </c>
      <c r="C58" s="12" t="s">
        <v>243</v>
      </c>
      <c r="D58" s="71" t="s">
        <v>238</v>
      </c>
      <c r="E58" s="71" t="s">
        <v>239</v>
      </c>
      <c r="F58" s="70" t="s">
        <v>240</v>
      </c>
      <c r="G58" s="66">
        <v>46175</v>
      </c>
      <c r="H58" s="72"/>
      <c r="I58" s="22">
        <v>113600</v>
      </c>
      <c r="J58" s="73">
        <f t="shared" si="8"/>
        <v>113600</v>
      </c>
      <c r="K58" s="68"/>
      <c r="L58" s="69"/>
      <c r="M58" s="69"/>
      <c r="N58" s="22" t="s">
        <v>155</v>
      </c>
      <c r="O58" s="70"/>
    </row>
    <row r="59" spans="1:15" ht="15" customHeight="1" x14ac:dyDescent="0.25">
      <c r="B59" s="63">
        <v>9</v>
      </c>
      <c r="C59" s="12" t="s">
        <v>243</v>
      </c>
      <c r="D59" s="71" t="s">
        <v>241</v>
      </c>
      <c r="E59" s="71" t="s">
        <v>239</v>
      </c>
      <c r="F59" s="70" t="s">
        <v>240</v>
      </c>
      <c r="G59" s="66">
        <v>46175</v>
      </c>
      <c r="H59" s="72"/>
      <c r="I59" s="22">
        <v>126628</v>
      </c>
      <c r="J59" s="73"/>
      <c r="K59" s="68"/>
      <c r="L59" s="24">
        <f>I59</f>
        <v>126628</v>
      </c>
      <c r="M59" s="69"/>
      <c r="N59" s="22" t="s">
        <v>155</v>
      </c>
      <c r="O59" s="70"/>
    </row>
    <row r="60" spans="1:15" ht="15.75" x14ac:dyDescent="0.25">
      <c r="B60" s="169" t="s">
        <v>25</v>
      </c>
      <c r="C60" s="170"/>
      <c r="D60" s="170"/>
      <c r="E60" s="170"/>
      <c r="F60" s="170"/>
      <c r="G60" s="170"/>
      <c r="H60" s="170"/>
      <c r="I60" s="171"/>
      <c r="J60" s="25">
        <f>SUM(J51:J59)</f>
        <v>4669600</v>
      </c>
      <c r="K60" s="74">
        <f>SUM(K51:K59)</f>
        <v>0</v>
      </c>
      <c r="L60" s="60">
        <f>SUM(L51:L59)</f>
        <v>439624</v>
      </c>
      <c r="M60" s="60">
        <f>SUM(M51:M59)</f>
        <v>0</v>
      </c>
      <c r="N60" s="39"/>
      <c r="O60" s="75">
        <f>SUM(J60+K60+L60+M60)</f>
        <v>5109224</v>
      </c>
    </row>
    <row r="61" spans="1:15" ht="15.75" x14ac:dyDescent="0.25">
      <c r="B61" s="172" t="s">
        <v>3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</row>
    <row r="62" spans="1:15" x14ac:dyDescent="0.25">
      <c r="B62" s="44">
        <v>1</v>
      </c>
      <c r="C62" s="12" t="s">
        <v>156</v>
      </c>
      <c r="D62" s="71" t="s">
        <v>229</v>
      </c>
      <c r="E62" s="71" t="s">
        <v>230</v>
      </c>
      <c r="F62" s="70" t="s">
        <v>52</v>
      </c>
      <c r="G62" s="66">
        <v>46175</v>
      </c>
      <c r="H62" s="72"/>
      <c r="I62" s="22">
        <v>430200</v>
      </c>
      <c r="J62" s="73">
        <f>I62</f>
        <v>430200</v>
      </c>
      <c r="K62" s="68"/>
      <c r="L62" s="69"/>
      <c r="M62" s="69"/>
      <c r="N62" s="22" t="s">
        <v>155</v>
      </c>
      <c r="O62" s="70"/>
    </row>
    <row r="63" spans="1:15" x14ac:dyDescent="0.25">
      <c r="B63" s="44">
        <v>2</v>
      </c>
      <c r="C63" s="12" t="s">
        <v>156</v>
      </c>
      <c r="D63" s="71" t="s">
        <v>231</v>
      </c>
      <c r="E63" s="71" t="s">
        <v>232</v>
      </c>
      <c r="F63" s="70" t="s">
        <v>233</v>
      </c>
      <c r="G63" s="66">
        <v>46175</v>
      </c>
      <c r="H63" s="72"/>
      <c r="I63" s="22">
        <v>328700</v>
      </c>
      <c r="J63" s="73">
        <f t="shared" ref="J63" si="9">I63</f>
        <v>328700</v>
      </c>
      <c r="K63" s="68"/>
      <c r="L63" s="24"/>
      <c r="M63" s="24"/>
      <c r="N63" s="22" t="s">
        <v>155</v>
      </c>
      <c r="O63" s="70"/>
    </row>
    <row r="64" spans="1:15" ht="15.75" x14ac:dyDescent="0.25">
      <c r="A64" t="s">
        <v>3</v>
      </c>
      <c r="B64" s="169" t="s">
        <v>25</v>
      </c>
      <c r="C64" s="170"/>
      <c r="D64" s="170"/>
      <c r="E64" s="170"/>
      <c r="F64" s="170"/>
      <c r="G64" s="170"/>
      <c r="H64" s="170"/>
      <c r="I64" s="171"/>
      <c r="J64" s="76">
        <f>SUM(J62:J63)</f>
        <v>758900</v>
      </c>
      <c r="K64" s="74">
        <f>SUM(K62:K63)</f>
        <v>0</v>
      </c>
      <c r="L64" s="60">
        <f>SUM(L62:L63)</f>
        <v>0</v>
      </c>
      <c r="M64" s="60">
        <f>SUM(M62:M63)</f>
        <v>0</v>
      </c>
      <c r="N64" s="39"/>
      <c r="O64" s="75">
        <f>SUM(J64+K64+L64+M64)</f>
        <v>758900</v>
      </c>
    </row>
    <row r="65" spans="4:15" x14ac:dyDescent="0.25">
      <c r="D65" s="57"/>
      <c r="I65" s="58"/>
      <c r="J65" s="58"/>
    </row>
    <row r="66" spans="4:15" ht="15.75" x14ac:dyDescent="0.25">
      <c r="D66" s="57"/>
      <c r="G66" s="162" t="s">
        <v>1646</v>
      </c>
      <c r="H66" s="162"/>
      <c r="I66" s="163"/>
      <c r="J66" s="25">
        <f>SUM(J64+J60)</f>
        <v>5428500</v>
      </c>
      <c r="K66" s="74">
        <f>SUM(K64+K60)</f>
        <v>0</v>
      </c>
      <c r="L66" s="60">
        <f>SUM(L64+L60)</f>
        <v>439624</v>
      </c>
      <c r="M66" s="60">
        <f>SUM(M64+M60)</f>
        <v>0</v>
      </c>
      <c r="N66" s="39"/>
      <c r="O66" s="77">
        <f>SUM(J66+K66+L66+M66)</f>
        <v>5868124</v>
      </c>
    </row>
    <row r="67" spans="4:15" ht="15.75" x14ac:dyDescent="0.25">
      <c r="D67" s="57"/>
      <c r="H67" s="41"/>
      <c r="I67" s="41"/>
      <c r="J67" s="41"/>
      <c r="K67" s="78"/>
      <c r="L67" s="78"/>
      <c r="M67" s="78"/>
      <c r="N67" s="79"/>
      <c r="O67" s="80"/>
    </row>
    <row r="68" spans="4:15" ht="15.75" x14ac:dyDescent="0.25">
      <c r="D68" s="57"/>
      <c r="H68" s="174" t="s">
        <v>27</v>
      </c>
      <c r="I68" s="175"/>
      <c r="J68" s="180" t="s">
        <v>14</v>
      </c>
      <c r="K68" s="180"/>
      <c r="L68" s="181" t="s">
        <v>15</v>
      </c>
      <c r="M68" s="181"/>
      <c r="N68" s="70"/>
      <c r="O68" s="182"/>
    </row>
    <row r="69" spans="4:15" ht="15.75" x14ac:dyDescent="0.25">
      <c r="D69" s="57"/>
      <c r="H69" s="176"/>
      <c r="I69" s="177"/>
      <c r="J69" s="6" t="s">
        <v>17</v>
      </c>
      <c r="K69" s="81" t="s">
        <v>18</v>
      </c>
      <c r="L69" s="82" t="s">
        <v>17</v>
      </c>
      <c r="M69" s="82" t="s">
        <v>18</v>
      </c>
      <c r="N69" s="70"/>
      <c r="O69" s="182"/>
    </row>
    <row r="70" spans="4:15" ht="15.75" x14ac:dyDescent="0.25">
      <c r="D70" s="57"/>
      <c r="H70" s="178"/>
      <c r="I70" s="179"/>
      <c r="J70" s="74">
        <f>SUM(J45,J66)</f>
        <v>14725800</v>
      </c>
      <c r="K70" s="74">
        <f>SUM(K66+K45)</f>
        <v>16395000</v>
      </c>
      <c r="L70" s="60">
        <f>SUM(L66+L45)</f>
        <v>2738176</v>
      </c>
      <c r="M70" s="60">
        <f>SUM(M66+M45)</f>
        <v>0</v>
      </c>
      <c r="N70" s="39"/>
      <c r="O70" s="182"/>
    </row>
    <row r="71" spans="4:15" x14ac:dyDescent="0.25">
      <c r="D71" s="57"/>
      <c r="I71" s="58"/>
      <c r="J71" s="58"/>
    </row>
    <row r="72" spans="4:15" ht="18.75" x14ac:dyDescent="0.3">
      <c r="D72" s="57"/>
      <c r="H72" s="183"/>
      <c r="I72" s="183"/>
      <c r="J72" s="83"/>
      <c r="L72" s="184" t="s">
        <v>28</v>
      </c>
      <c r="M72" s="185"/>
      <c r="N72" s="84">
        <f>SUM(J70+L70)</f>
        <v>17463976</v>
      </c>
      <c r="O72" s="186">
        <f>SUM(N72+N73)</f>
        <v>33858976</v>
      </c>
    </row>
    <row r="73" spans="4:15" ht="18.75" x14ac:dyDescent="0.3">
      <c r="D73" s="57"/>
      <c r="H73" s="183"/>
      <c r="I73" s="183"/>
      <c r="J73" s="83"/>
      <c r="L73" s="184" t="s">
        <v>29</v>
      </c>
      <c r="M73" s="185"/>
      <c r="N73" s="84">
        <f>SUM(K70+M70)</f>
        <v>16395000</v>
      </c>
      <c r="O73" s="187"/>
    </row>
    <row r="74" spans="4:15" ht="18.75" x14ac:dyDescent="0.3">
      <c r="D74" s="57"/>
      <c r="H74" s="168"/>
      <c r="I74" s="168"/>
      <c r="J74" s="85"/>
      <c r="K74" s="86"/>
    </row>
    <row r="75" spans="4:15" x14ac:dyDescent="0.25">
      <c r="D75" s="2" t="s">
        <v>30</v>
      </c>
      <c r="E75" s="1"/>
      <c r="F75" s="1"/>
      <c r="G75" s="1"/>
      <c r="H75" s="1"/>
      <c r="I75" s="1"/>
      <c r="J75" s="1"/>
      <c r="K75" s="1"/>
    </row>
    <row r="76" spans="4:15" x14ac:dyDescent="0.25">
      <c r="D76" s="2"/>
      <c r="E76" s="1"/>
      <c r="F76" s="1"/>
      <c r="G76" s="1"/>
      <c r="H76" s="1"/>
      <c r="I76" s="1"/>
      <c r="J76" s="1"/>
      <c r="K76" s="1"/>
    </row>
    <row r="77" spans="4:15" x14ac:dyDescent="0.25">
      <c r="D77" s="3" t="s">
        <v>31</v>
      </c>
      <c r="E77" s="3"/>
      <c r="F77" s="3" t="s">
        <v>32</v>
      </c>
      <c r="G77" s="3"/>
      <c r="H77" s="3" t="s">
        <v>33</v>
      </c>
      <c r="I77" s="3"/>
      <c r="J77" s="3" t="s">
        <v>34</v>
      </c>
      <c r="K77" s="3"/>
    </row>
    <row r="78" spans="4:15" x14ac:dyDescent="0.25">
      <c r="D78" s="3"/>
      <c r="E78" s="3"/>
      <c r="F78" s="3"/>
      <c r="G78" s="3"/>
      <c r="H78" s="3"/>
      <c r="I78" s="3"/>
      <c r="J78" s="3"/>
      <c r="K78" s="3"/>
    </row>
    <row r="79" spans="4:15" x14ac:dyDescent="0.25">
      <c r="D79" s="3"/>
      <c r="E79" s="3"/>
      <c r="F79" s="3"/>
      <c r="G79" s="3"/>
      <c r="H79" s="3"/>
      <c r="I79" s="3"/>
      <c r="J79" s="3"/>
      <c r="K79" s="3"/>
    </row>
    <row r="80" spans="4:15" x14ac:dyDescent="0.25">
      <c r="D80" s="3"/>
      <c r="E80" s="3"/>
      <c r="F80" s="3"/>
      <c r="G80" s="3"/>
      <c r="H80" s="3"/>
      <c r="I80" s="3"/>
      <c r="J80" s="3"/>
      <c r="K80" s="3"/>
    </row>
    <row r="81" spans="4:11" x14ac:dyDescent="0.25">
      <c r="D81" s="3" t="s">
        <v>35</v>
      </c>
      <c r="E81" s="3"/>
      <c r="F81" s="3" t="s">
        <v>36</v>
      </c>
      <c r="G81" s="3"/>
      <c r="H81" s="3" t="s">
        <v>36</v>
      </c>
      <c r="I81" s="3"/>
      <c r="J81" s="3" t="s">
        <v>37</v>
      </c>
      <c r="K81" s="3"/>
    </row>
    <row r="82" spans="4:11" x14ac:dyDescent="0.25">
      <c r="D82" s="57"/>
    </row>
    <row r="83" spans="4:11" x14ac:dyDescent="0.25">
      <c r="D83" s="57"/>
    </row>
    <row r="84" spans="4:11" x14ac:dyDescent="0.25">
      <c r="D84" s="57"/>
    </row>
    <row r="85" spans="4:11" x14ac:dyDescent="0.25">
      <c r="D85" s="57"/>
    </row>
    <row r="86" spans="4:11" x14ac:dyDescent="0.25">
      <c r="D86" s="57"/>
    </row>
  </sheetData>
  <mergeCells count="48">
    <mergeCell ref="B20:I20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48:G49"/>
    <mergeCell ref="B21:O21"/>
    <mergeCell ref="B34:I34"/>
    <mergeCell ref="B35:O35"/>
    <mergeCell ref="B42:I42"/>
    <mergeCell ref="G45:I45"/>
    <mergeCell ref="B47:D47"/>
    <mergeCell ref="B48:B49"/>
    <mergeCell ref="C48:C49"/>
    <mergeCell ref="D48:D49"/>
    <mergeCell ref="E48:E49"/>
    <mergeCell ref="F48:F49"/>
    <mergeCell ref="H48:H49"/>
    <mergeCell ref="I48:I49"/>
    <mergeCell ref="J48:N48"/>
    <mergeCell ref="O48:O49"/>
    <mergeCell ref="G66:I66"/>
    <mergeCell ref="J49:K49"/>
    <mergeCell ref="L49:M49"/>
    <mergeCell ref="H74:I74"/>
    <mergeCell ref="B60:I60"/>
    <mergeCell ref="B61:O61"/>
    <mergeCell ref="B64:I64"/>
    <mergeCell ref="H68:I70"/>
    <mergeCell ref="J68:K68"/>
    <mergeCell ref="L68:M68"/>
    <mergeCell ref="O68:O70"/>
    <mergeCell ref="H72:I72"/>
    <mergeCell ref="L72:M72"/>
    <mergeCell ref="O72:O73"/>
    <mergeCell ref="H73:I73"/>
    <mergeCell ref="L73:M73"/>
  </mergeCells>
  <pageMargins left="0" right="0" top="0" bottom="0" header="0" footer="0"/>
  <pageSetup paperSize="9" scale="65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1529F-76A1-43F7-8140-23570BAB8E87}">
  <dimension ref="A2:Q88"/>
  <sheetViews>
    <sheetView topLeftCell="A58" workbookViewId="0">
      <selection activeCell="G68" sqref="G68:I68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245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161</v>
      </c>
      <c r="E9" s="14" t="s">
        <v>162</v>
      </c>
      <c r="F9" s="15" t="s">
        <v>163</v>
      </c>
      <c r="G9" s="16">
        <v>46148</v>
      </c>
      <c r="H9" s="16">
        <v>46161</v>
      </c>
      <c r="I9" s="17">
        <v>130200</v>
      </c>
      <c r="J9" s="18">
        <f>I9</f>
        <v>130200</v>
      </c>
      <c r="K9" s="19"/>
      <c r="L9" s="20"/>
      <c r="M9" s="20"/>
      <c r="N9" s="21" t="s">
        <v>155</v>
      </c>
      <c r="O9" s="22"/>
    </row>
    <row r="10" spans="2:17" x14ac:dyDescent="0.25">
      <c r="B10" s="11">
        <v>2</v>
      </c>
      <c r="C10" s="12"/>
      <c r="D10" s="13" t="s">
        <v>173</v>
      </c>
      <c r="E10" s="14" t="s">
        <v>174</v>
      </c>
      <c r="F10" s="15" t="s">
        <v>175</v>
      </c>
      <c r="G10" s="16">
        <v>46162</v>
      </c>
      <c r="H10" s="16">
        <v>46175</v>
      </c>
      <c r="I10" s="23">
        <v>280200</v>
      </c>
      <c r="J10" s="18">
        <f t="shared" ref="J10:J15" si="0">I10</f>
        <v>280200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247</v>
      </c>
      <c r="E11" s="14" t="s">
        <v>248</v>
      </c>
      <c r="F11" s="15" t="s">
        <v>249</v>
      </c>
      <c r="G11" s="16">
        <v>46163</v>
      </c>
      <c r="H11" s="16">
        <v>46176</v>
      </c>
      <c r="I11" s="23">
        <v>872500</v>
      </c>
      <c r="J11" s="18">
        <f t="shared" si="0"/>
        <v>872500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251</v>
      </c>
      <c r="E12" s="14" t="s">
        <v>252</v>
      </c>
      <c r="F12" s="15" t="s">
        <v>250</v>
      </c>
      <c r="G12" s="16">
        <v>46163</v>
      </c>
      <c r="H12" s="16">
        <v>46176</v>
      </c>
      <c r="I12" s="23">
        <v>1075500</v>
      </c>
      <c r="J12" s="18">
        <f t="shared" si="0"/>
        <v>1075500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253</v>
      </c>
      <c r="E13" s="14" t="s">
        <v>254</v>
      </c>
      <c r="F13" s="15" t="s">
        <v>250</v>
      </c>
      <c r="G13" s="16">
        <v>46163</v>
      </c>
      <c r="H13" s="16">
        <v>46176</v>
      </c>
      <c r="I13" s="23">
        <v>860400</v>
      </c>
      <c r="J13" s="18">
        <f t="shared" si="0"/>
        <v>860400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255</v>
      </c>
      <c r="E14" s="14" t="s">
        <v>256</v>
      </c>
      <c r="F14" s="15" t="s">
        <v>246</v>
      </c>
      <c r="G14" s="16">
        <v>46163</v>
      </c>
      <c r="H14" s="16">
        <v>46176</v>
      </c>
      <c r="I14" s="23">
        <v>884600</v>
      </c>
      <c r="J14" s="18">
        <f t="shared" si="0"/>
        <v>884600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257</v>
      </c>
      <c r="E15" s="14" t="s">
        <v>258</v>
      </c>
      <c r="F15" s="15" t="s">
        <v>259</v>
      </c>
      <c r="G15" s="16">
        <v>46164</v>
      </c>
      <c r="H15" s="16">
        <v>46177</v>
      </c>
      <c r="I15" s="23">
        <v>430200</v>
      </c>
      <c r="J15" s="18">
        <f t="shared" si="0"/>
        <v>430200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260</v>
      </c>
      <c r="E16" s="14" t="s">
        <v>162</v>
      </c>
      <c r="F16" s="15" t="s">
        <v>163</v>
      </c>
      <c r="G16" s="16">
        <v>46148</v>
      </c>
      <c r="H16" s="16">
        <v>46161</v>
      </c>
      <c r="I16" s="23">
        <v>105600</v>
      </c>
      <c r="J16" s="18"/>
      <c r="K16" s="19"/>
      <c r="L16" s="24">
        <f>I16</f>
        <v>105600</v>
      </c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261</v>
      </c>
      <c r="E17" s="14" t="s">
        <v>248</v>
      </c>
      <c r="F17" s="15" t="s">
        <v>249</v>
      </c>
      <c r="G17" s="16">
        <v>46163</v>
      </c>
      <c r="H17" s="16">
        <v>46176</v>
      </c>
      <c r="I17" s="23">
        <v>213354</v>
      </c>
      <c r="J17" s="18"/>
      <c r="K17" s="19"/>
      <c r="L17" s="24">
        <f t="shared" ref="L17:L20" si="1">I17</f>
        <v>213354</v>
      </c>
      <c r="M17" s="24"/>
      <c r="N17" s="22" t="s">
        <v>155</v>
      </c>
      <c r="O17" s="22"/>
    </row>
    <row r="18" spans="2:15" x14ac:dyDescent="0.25">
      <c r="B18" s="11">
        <v>10</v>
      </c>
      <c r="C18" s="12"/>
      <c r="D18" s="13" t="s">
        <v>262</v>
      </c>
      <c r="E18" s="14" t="s">
        <v>263</v>
      </c>
      <c r="F18" s="15" t="s">
        <v>250</v>
      </c>
      <c r="G18" s="16">
        <v>46163</v>
      </c>
      <c r="H18" s="16">
        <v>46176</v>
      </c>
      <c r="I18" s="23">
        <v>368494</v>
      </c>
      <c r="J18" s="18"/>
      <c r="K18" s="19"/>
      <c r="L18" s="24">
        <v>200000</v>
      </c>
      <c r="M18" s="24"/>
      <c r="N18" s="22" t="s">
        <v>158</v>
      </c>
      <c r="O18" s="22"/>
    </row>
    <row r="19" spans="2:15" x14ac:dyDescent="0.25">
      <c r="B19" s="11">
        <v>11</v>
      </c>
      <c r="C19" s="12"/>
      <c r="D19" s="13" t="s">
        <v>264</v>
      </c>
      <c r="E19" s="14" t="s">
        <v>256</v>
      </c>
      <c r="F19" s="15" t="s">
        <v>246</v>
      </c>
      <c r="G19" s="16">
        <v>46163</v>
      </c>
      <c r="H19" s="16">
        <v>46176</v>
      </c>
      <c r="I19" s="23">
        <v>694980</v>
      </c>
      <c r="J19" s="18"/>
      <c r="K19" s="19"/>
      <c r="L19" s="24">
        <v>115400</v>
      </c>
      <c r="M19" s="24"/>
      <c r="N19" s="22" t="s">
        <v>158</v>
      </c>
      <c r="O19" s="22"/>
    </row>
    <row r="20" spans="2:15" x14ac:dyDescent="0.25">
      <c r="B20" s="11">
        <v>12</v>
      </c>
      <c r="C20" s="12"/>
      <c r="D20" s="13" t="s">
        <v>265</v>
      </c>
      <c r="E20" s="14" t="s">
        <v>258</v>
      </c>
      <c r="F20" s="15" t="s">
        <v>259</v>
      </c>
      <c r="G20" s="16">
        <v>46164</v>
      </c>
      <c r="H20" s="16">
        <v>46177</v>
      </c>
      <c r="I20" s="23">
        <v>138996</v>
      </c>
      <c r="J20" s="18"/>
      <c r="K20" s="19"/>
      <c r="L20" s="24">
        <f t="shared" si="1"/>
        <v>138996</v>
      </c>
      <c r="M20" s="24"/>
      <c r="N20" s="22" t="s">
        <v>155</v>
      </c>
      <c r="O20" s="22"/>
    </row>
    <row r="21" spans="2:15" ht="15.75" x14ac:dyDescent="0.25">
      <c r="B21" s="169" t="s">
        <v>13</v>
      </c>
      <c r="C21" s="170"/>
      <c r="D21" s="170"/>
      <c r="E21" s="170"/>
      <c r="F21" s="170"/>
      <c r="G21" s="170"/>
      <c r="H21" s="170"/>
      <c r="I21" s="171"/>
      <c r="J21" s="25">
        <f>SUM(J9:J20)</f>
        <v>4533600</v>
      </c>
      <c r="K21" s="26">
        <f>SUM(K9:K20)</f>
        <v>0</v>
      </c>
      <c r="L21" s="27">
        <f>SUM(L9:L20)</f>
        <v>773350</v>
      </c>
      <c r="M21" s="28">
        <f>SUM(M9:M20)</f>
        <v>0</v>
      </c>
      <c r="N21" s="29"/>
      <c r="O21" s="30">
        <f>SUM(J21+K21+L21+M21)</f>
        <v>5306950</v>
      </c>
    </row>
    <row r="22" spans="2:15" ht="15.75" x14ac:dyDescent="0.25">
      <c r="B22" s="190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</row>
    <row r="23" spans="2:15" x14ac:dyDescent="0.25">
      <c r="B23" s="11">
        <v>1</v>
      </c>
      <c r="C23" s="31" t="s">
        <v>20</v>
      </c>
      <c r="D23" s="13" t="s">
        <v>266</v>
      </c>
      <c r="E23" s="32" t="s">
        <v>267</v>
      </c>
      <c r="F23" s="33" t="s">
        <v>268</v>
      </c>
      <c r="G23" s="34">
        <v>46139</v>
      </c>
      <c r="H23" s="35">
        <v>46151</v>
      </c>
      <c r="I23" s="36">
        <v>200000</v>
      </c>
      <c r="J23" s="37">
        <f>I23</f>
        <v>200000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2</v>
      </c>
      <c r="C24" s="31"/>
      <c r="D24" s="13" t="s">
        <v>269</v>
      </c>
      <c r="E24" s="32" t="s">
        <v>270</v>
      </c>
      <c r="F24" s="33" t="s">
        <v>271</v>
      </c>
      <c r="G24" s="34">
        <v>46149</v>
      </c>
      <c r="H24" s="35">
        <v>46162</v>
      </c>
      <c r="I24" s="36">
        <v>227900</v>
      </c>
      <c r="J24" s="37">
        <f t="shared" ref="J24:J30" si="2">I24</f>
        <v>227900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3</v>
      </c>
      <c r="C25" s="31"/>
      <c r="D25" s="13" t="s">
        <v>272</v>
      </c>
      <c r="E25" s="32" t="s">
        <v>273</v>
      </c>
      <c r="F25" s="33" t="s">
        <v>271</v>
      </c>
      <c r="G25" s="34">
        <v>46163</v>
      </c>
      <c r="H25" s="35">
        <v>46176</v>
      </c>
      <c r="I25" s="36">
        <v>442300</v>
      </c>
      <c r="J25" s="37">
        <v>242300</v>
      </c>
      <c r="K25" s="19"/>
      <c r="L25" s="24"/>
      <c r="M25" s="24"/>
      <c r="N25" s="22" t="s">
        <v>158</v>
      </c>
      <c r="O25" s="22"/>
    </row>
    <row r="26" spans="2:15" x14ac:dyDescent="0.25">
      <c r="B26" s="11">
        <v>4</v>
      </c>
      <c r="C26" s="31"/>
      <c r="D26" s="13" t="s">
        <v>274</v>
      </c>
      <c r="E26" s="32" t="s">
        <v>275</v>
      </c>
      <c r="F26" s="33" t="s">
        <v>271</v>
      </c>
      <c r="G26" s="34">
        <v>46163</v>
      </c>
      <c r="H26" s="35">
        <v>46176</v>
      </c>
      <c r="I26" s="36">
        <v>328700</v>
      </c>
      <c r="J26" s="37">
        <v>200000</v>
      </c>
      <c r="K26" s="19"/>
      <c r="L26" s="24"/>
      <c r="M26" s="24"/>
      <c r="N26" s="22" t="s">
        <v>158</v>
      </c>
      <c r="O26" s="22"/>
    </row>
    <row r="27" spans="2:15" x14ac:dyDescent="0.25">
      <c r="B27" s="11">
        <v>5</v>
      </c>
      <c r="C27" s="31"/>
      <c r="D27" s="13" t="s">
        <v>276</v>
      </c>
      <c r="E27" s="32" t="s">
        <v>277</v>
      </c>
      <c r="F27" s="33" t="s">
        <v>271</v>
      </c>
      <c r="G27" s="34">
        <v>46163</v>
      </c>
      <c r="H27" s="35">
        <v>46176</v>
      </c>
      <c r="I27" s="36">
        <v>227200</v>
      </c>
      <c r="J27" s="37">
        <v>100000</v>
      </c>
      <c r="K27" s="19"/>
      <c r="L27" s="24"/>
      <c r="M27" s="24"/>
      <c r="N27" s="22" t="s">
        <v>158</v>
      </c>
      <c r="O27" s="22"/>
    </row>
    <row r="28" spans="2:15" x14ac:dyDescent="0.25">
      <c r="B28" s="11">
        <v>6</v>
      </c>
      <c r="C28" s="31"/>
      <c r="D28" s="13" t="s">
        <v>278</v>
      </c>
      <c r="E28" s="32" t="s">
        <v>279</v>
      </c>
      <c r="F28" s="33" t="s">
        <v>271</v>
      </c>
      <c r="G28" s="34">
        <v>46163</v>
      </c>
      <c r="H28" s="35">
        <v>46176</v>
      </c>
      <c r="I28" s="36">
        <v>215100</v>
      </c>
      <c r="J28" s="37">
        <v>100000</v>
      </c>
      <c r="K28" s="19"/>
      <c r="L28" s="24"/>
      <c r="M28" s="24"/>
      <c r="N28" s="22" t="s">
        <v>158</v>
      </c>
      <c r="O28" s="22"/>
    </row>
    <row r="29" spans="2:15" x14ac:dyDescent="0.25">
      <c r="B29" s="11">
        <v>7</v>
      </c>
      <c r="C29" s="31"/>
      <c r="D29" s="13" t="s">
        <v>281</v>
      </c>
      <c r="E29" s="32" t="s">
        <v>282</v>
      </c>
      <c r="F29" s="33" t="s">
        <v>280</v>
      </c>
      <c r="G29" s="34">
        <v>46163</v>
      </c>
      <c r="H29" s="35">
        <v>46176</v>
      </c>
      <c r="I29" s="36">
        <v>645300</v>
      </c>
      <c r="J29" s="37"/>
      <c r="K29" s="19">
        <v>645300</v>
      </c>
      <c r="L29" s="24"/>
      <c r="M29" s="24"/>
      <c r="N29" s="22" t="s">
        <v>155</v>
      </c>
      <c r="O29" s="22"/>
    </row>
    <row r="30" spans="2:15" x14ac:dyDescent="0.25">
      <c r="B30" s="11">
        <v>8</v>
      </c>
      <c r="C30" s="31"/>
      <c r="D30" s="13" t="s">
        <v>283</v>
      </c>
      <c r="E30" s="32" t="s">
        <v>284</v>
      </c>
      <c r="F30" s="33" t="s">
        <v>285</v>
      </c>
      <c r="G30" s="34">
        <v>46163</v>
      </c>
      <c r="H30" s="35">
        <v>46176</v>
      </c>
      <c r="I30" s="36">
        <v>430200</v>
      </c>
      <c r="J30" s="37">
        <f t="shared" si="2"/>
        <v>430200</v>
      </c>
      <c r="K30" s="19"/>
      <c r="L30" s="24"/>
      <c r="M30" s="24"/>
      <c r="N30" s="22" t="s">
        <v>155</v>
      </c>
      <c r="O30" s="22"/>
    </row>
    <row r="31" spans="2:15" x14ac:dyDescent="0.25">
      <c r="B31" s="11">
        <v>9</v>
      </c>
      <c r="C31" s="31"/>
      <c r="D31" s="13" t="s">
        <v>286</v>
      </c>
      <c r="E31" s="32" t="s">
        <v>287</v>
      </c>
      <c r="F31" s="33" t="s">
        <v>268</v>
      </c>
      <c r="G31" s="34">
        <v>46163</v>
      </c>
      <c r="H31" s="35">
        <v>46176</v>
      </c>
      <c r="I31" s="36">
        <v>435000</v>
      </c>
      <c r="J31" s="37"/>
      <c r="K31" s="19"/>
      <c r="L31" s="24">
        <f>I31</f>
        <v>435000</v>
      </c>
      <c r="M31" s="24"/>
      <c r="N31" s="22" t="s">
        <v>155</v>
      </c>
      <c r="O31" s="22"/>
    </row>
    <row r="32" spans="2:15" ht="15.75" x14ac:dyDescent="0.25">
      <c r="B32" s="192" t="s">
        <v>13</v>
      </c>
      <c r="C32" s="193"/>
      <c r="D32" s="193"/>
      <c r="E32" s="193"/>
      <c r="F32" s="193"/>
      <c r="G32" s="193"/>
      <c r="H32" s="193"/>
      <c r="I32" s="194"/>
      <c r="J32" s="38">
        <f>SUM(J23:J31)</f>
        <v>1500400</v>
      </c>
      <c r="K32" s="26">
        <f>SUM(K23:K31)</f>
        <v>645300</v>
      </c>
      <c r="L32" s="27">
        <f>SUM(L23:L31)</f>
        <v>435000</v>
      </c>
      <c r="M32" s="27">
        <f>SUM(M23:M31)</f>
        <v>0</v>
      </c>
      <c r="N32" s="39"/>
      <c r="O32" s="40">
        <f>SUM(J32+K32+L32+M32)</f>
        <v>2580700</v>
      </c>
    </row>
    <row r="33" spans="2:15" ht="15.75" x14ac:dyDescent="0.25">
      <c r="B33" s="195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</row>
    <row r="34" spans="2:15" ht="15.75" x14ac:dyDescent="0.25">
      <c r="B34" s="42">
        <v>1</v>
      </c>
      <c r="C34" s="43" t="s">
        <v>21</v>
      </c>
      <c r="D34" s="44" t="s">
        <v>288</v>
      </c>
      <c r="E34" s="45" t="s">
        <v>289</v>
      </c>
      <c r="F34" s="45" t="s">
        <v>290</v>
      </c>
      <c r="G34" s="46">
        <v>46163</v>
      </c>
      <c r="H34" s="46">
        <v>46176</v>
      </c>
      <c r="I34" s="47">
        <v>758900</v>
      </c>
      <c r="J34" s="48">
        <f>I34</f>
        <v>758900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2</v>
      </c>
      <c r="C35" s="43"/>
      <c r="D35" s="44" t="s">
        <v>291</v>
      </c>
      <c r="E35" s="45" t="s">
        <v>292</v>
      </c>
      <c r="F35" s="45" t="s">
        <v>293</v>
      </c>
      <c r="G35" s="46">
        <v>46163</v>
      </c>
      <c r="H35" s="46">
        <v>46176</v>
      </c>
      <c r="I35" s="47">
        <v>430200</v>
      </c>
      <c r="J35" s="48">
        <f t="shared" ref="J35:J41" si="3">I35</f>
        <v>430200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3</v>
      </c>
      <c r="C36" s="43"/>
      <c r="D36" s="44" t="s">
        <v>294</v>
      </c>
      <c r="E36" s="45" t="s">
        <v>295</v>
      </c>
      <c r="F36" s="45" t="s">
        <v>293</v>
      </c>
      <c r="G36" s="46">
        <v>46163</v>
      </c>
      <c r="H36" s="46">
        <v>46176</v>
      </c>
      <c r="I36" s="47">
        <v>215100</v>
      </c>
      <c r="J36" s="48">
        <f t="shared" si="3"/>
        <v>215100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4</v>
      </c>
      <c r="C37" s="43"/>
      <c r="D37" s="44" t="s">
        <v>296</v>
      </c>
      <c r="E37" s="45" t="s">
        <v>297</v>
      </c>
      <c r="F37" s="45" t="s">
        <v>298</v>
      </c>
      <c r="G37" s="46">
        <v>46163</v>
      </c>
      <c r="H37" s="46">
        <v>46176</v>
      </c>
      <c r="I37" s="47">
        <v>645300</v>
      </c>
      <c r="J37" s="48">
        <f t="shared" si="3"/>
        <v>645300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5</v>
      </c>
      <c r="C38" s="43"/>
      <c r="D38" s="44" t="s">
        <v>299</v>
      </c>
      <c r="E38" s="45" t="s">
        <v>300</v>
      </c>
      <c r="F38" s="45" t="s">
        <v>301</v>
      </c>
      <c r="G38" s="46">
        <v>46163</v>
      </c>
      <c r="H38" s="46">
        <v>46176</v>
      </c>
      <c r="I38" s="47">
        <v>215100</v>
      </c>
      <c r="J38" s="48">
        <f t="shared" si="3"/>
        <v>215100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6</v>
      </c>
      <c r="C39" s="43"/>
      <c r="D39" s="44" t="s">
        <v>302</v>
      </c>
      <c r="E39" s="45" t="s">
        <v>303</v>
      </c>
      <c r="F39" s="45" t="s">
        <v>304</v>
      </c>
      <c r="G39" s="46">
        <v>46163</v>
      </c>
      <c r="H39" s="46">
        <v>46176</v>
      </c>
      <c r="I39" s="47">
        <v>430200</v>
      </c>
      <c r="J39" s="48">
        <f t="shared" si="3"/>
        <v>430200</v>
      </c>
      <c r="K39" s="49"/>
      <c r="L39" s="50"/>
      <c r="M39" s="50"/>
      <c r="N39" s="22" t="s">
        <v>155</v>
      </c>
      <c r="O39" s="42"/>
    </row>
    <row r="40" spans="2:15" ht="15.75" x14ac:dyDescent="0.25">
      <c r="B40" s="42">
        <v>7</v>
      </c>
      <c r="C40" s="43"/>
      <c r="D40" s="44" t="s">
        <v>305</v>
      </c>
      <c r="E40" s="45" t="s">
        <v>306</v>
      </c>
      <c r="F40" s="45" t="s">
        <v>307</v>
      </c>
      <c r="G40" s="46">
        <v>46163</v>
      </c>
      <c r="H40" s="46">
        <v>46176</v>
      </c>
      <c r="I40" s="47">
        <v>215100</v>
      </c>
      <c r="J40" s="48">
        <f t="shared" si="3"/>
        <v>215100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8</v>
      </c>
      <c r="C41" s="43"/>
      <c r="D41" s="44" t="s">
        <v>308</v>
      </c>
      <c r="E41" s="45" t="s">
        <v>309</v>
      </c>
      <c r="F41" s="45" t="s">
        <v>307</v>
      </c>
      <c r="G41" s="46">
        <v>46163</v>
      </c>
      <c r="H41" s="46">
        <v>46176</v>
      </c>
      <c r="I41" s="47">
        <v>215100</v>
      </c>
      <c r="J41" s="48">
        <f t="shared" si="3"/>
        <v>215100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9</v>
      </c>
      <c r="C42" s="43"/>
      <c r="D42" s="44" t="s">
        <v>310</v>
      </c>
      <c r="E42" s="45" t="s">
        <v>292</v>
      </c>
      <c r="F42" s="45" t="s">
        <v>293</v>
      </c>
      <c r="G42" s="46">
        <v>46163</v>
      </c>
      <c r="H42" s="46">
        <v>46176</v>
      </c>
      <c r="I42" s="47">
        <v>118000</v>
      </c>
      <c r="J42" s="48"/>
      <c r="K42" s="49"/>
      <c r="L42" s="51">
        <f>I42</f>
        <v>118000</v>
      </c>
      <c r="M42" s="50"/>
      <c r="N42" s="22" t="s">
        <v>155</v>
      </c>
      <c r="O42" s="42"/>
    </row>
    <row r="43" spans="2:15" ht="15.75" x14ac:dyDescent="0.25">
      <c r="B43" s="42">
        <v>10</v>
      </c>
      <c r="C43" s="43"/>
      <c r="D43" s="44" t="s">
        <v>311</v>
      </c>
      <c r="E43" s="45" t="s">
        <v>297</v>
      </c>
      <c r="F43" s="45" t="s">
        <v>298</v>
      </c>
      <c r="G43" s="46">
        <v>46163</v>
      </c>
      <c r="H43" s="46">
        <v>46176</v>
      </c>
      <c r="I43" s="47">
        <v>68556</v>
      </c>
      <c r="J43" s="48"/>
      <c r="K43" s="49"/>
      <c r="L43" s="51">
        <f t="shared" ref="L43:L47" si="4">I43</f>
        <v>68556</v>
      </c>
      <c r="M43" s="50"/>
      <c r="N43" s="22" t="s">
        <v>155</v>
      </c>
      <c r="O43" s="42"/>
    </row>
    <row r="44" spans="2:15" ht="15.75" x14ac:dyDescent="0.25">
      <c r="B44" s="42">
        <v>11</v>
      </c>
      <c r="C44" s="43"/>
      <c r="D44" s="44" t="s">
        <v>312</v>
      </c>
      <c r="E44" s="45" t="s">
        <v>300</v>
      </c>
      <c r="F44" s="45" t="s">
        <v>301</v>
      </c>
      <c r="G44" s="46">
        <v>46163</v>
      </c>
      <c r="H44" s="46">
        <v>46176</v>
      </c>
      <c r="I44" s="47">
        <v>59000</v>
      </c>
      <c r="J44" s="48"/>
      <c r="K44" s="49"/>
      <c r="L44" s="51">
        <f t="shared" si="4"/>
        <v>59000</v>
      </c>
      <c r="M44" s="51"/>
      <c r="N44" s="22" t="s">
        <v>155</v>
      </c>
      <c r="O44" s="42"/>
    </row>
    <row r="45" spans="2:15" ht="15.75" x14ac:dyDescent="0.25">
      <c r="B45" s="42">
        <v>12</v>
      </c>
      <c r="C45" s="43"/>
      <c r="D45" s="44" t="s">
        <v>313</v>
      </c>
      <c r="E45" s="45" t="s">
        <v>303</v>
      </c>
      <c r="F45" s="45" t="s">
        <v>304</v>
      </c>
      <c r="G45" s="46">
        <v>46163</v>
      </c>
      <c r="H45" s="46">
        <v>46176</v>
      </c>
      <c r="I45" s="47">
        <v>68556</v>
      </c>
      <c r="J45" s="48"/>
      <c r="K45" s="49"/>
      <c r="L45" s="51">
        <f t="shared" si="4"/>
        <v>68556</v>
      </c>
      <c r="M45" s="51"/>
      <c r="N45" s="22" t="s">
        <v>155</v>
      </c>
      <c r="O45" s="42"/>
    </row>
    <row r="46" spans="2:15" ht="15.75" x14ac:dyDescent="0.25">
      <c r="B46" s="42">
        <v>13</v>
      </c>
      <c r="C46" s="42"/>
      <c r="D46" s="44" t="s">
        <v>314</v>
      </c>
      <c r="E46" s="45" t="s">
        <v>306</v>
      </c>
      <c r="F46" s="45" t="s">
        <v>307</v>
      </c>
      <c r="G46" s="46">
        <v>46163</v>
      </c>
      <c r="H46" s="46">
        <v>46176</v>
      </c>
      <c r="I46" s="47">
        <v>208498</v>
      </c>
      <c r="J46" s="48"/>
      <c r="K46" s="49"/>
      <c r="L46" s="51">
        <f t="shared" si="4"/>
        <v>208498</v>
      </c>
      <c r="M46" s="51"/>
      <c r="N46" s="22" t="s">
        <v>155</v>
      </c>
      <c r="O46" s="42"/>
    </row>
    <row r="47" spans="2:15" ht="15.75" x14ac:dyDescent="0.25">
      <c r="B47" s="42">
        <v>14</v>
      </c>
      <c r="C47" s="42"/>
      <c r="D47" s="44" t="s">
        <v>315</v>
      </c>
      <c r="E47" s="45" t="s">
        <v>309</v>
      </c>
      <c r="F47" s="45" t="s">
        <v>307</v>
      </c>
      <c r="G47" s="46">
        <v>46163</v>
      </c>
      <c r="H47" s="46">
        <v>46176</v>
      </c>
      <c r="I47" s="47">
        <v>103776</v>
      </c>
      <c r="J47" s="48"/>
      <c r="K47" s="49"/>
      <c r="L47" s="51">
        <f t="shared" si="4"/>
        <v>103776</v>
      </c>
      <c r="M47" s="51"/>
      <c r="N47" s="22" t="s">
        <v>155</v>
      </c>
      <c r="O47" s="42"/>
    </row>
    <row r="48" spans="2:15" ht="15.75" x14ac:dyDescent="0.25">
      <c r="B48" s="197" t="s">
        <v>13</v>
      </c>
      <c r="C48" s="198"/>
      <c r="D48" s="198"/>
      <c r="E48" s="198"/>
      <c r="F48" s="198"/>
      <c r="G48" s="198"/>
      <c r="H48" s="198"/>
      <c r="I48" s="199"/>
      <c r="J48" s="52">
        <f>SUM(J34:J47)</f>
        <v>3125000</v>
      </c>
      <c r="K48" s="53">
        <f>SUM(K34:K47)</f>
        <v>0</v>
      </c>
      <c r="L48" s="54">
        <f>SUM(L34:L47)</f>
        <v>626386</v>
      </c>
      <c r="M48" s="54">
        <f>SUM(M34:M47)</f>
        <v>0</v>
      </c>
      <c r="N48" s="55"/>
      <c r="O48" s="56">
        <f>SUM(J48+K48+L48+M48)</f>
        <v>3751386</v>
      </c>
    </row>
    <row r="49" spans="2:15" x14ac:dyDescent="0.25">
      <c r="D49" s="57"/>
      <c r="I49" s="58"/>
      <c r="J49" s="58"/>
    </row>
    <row r="50" spans="2:15" x14ac:dyDescent="0.25">
      <c r="D50" s="57"/>
      <c r="I50" s="58"/>
      <c r="J50" s="58"/>
    </row>
    <row r="51" spans="2:15" ht="15.75" x14ac:dyDescent="0.25">
      <c r="D51" s="57"/>
      <c r="G51" s="200" t="s">
        <v>22</v>
      </c>
      <c r="H51" s="200"/>
      <c r="I51" s="200"/>
      <c r="J51" s="59">
        <f>SUM(J48+J32+J21)</f>
        <v>9159000</v>
      </c>
      <c r="K51" s="26">
        <f>SUM(K48+K32+K21)</f>
        <v>645300</v>
      </c>
      <c r="L51" s="60">
        <f>SUM(L48+L32+L21)</f>
        <v>1834736</v>
      </c>
      <c r="M51" s="60">
        <f>SUM(M48+M32+M21)</f>
        <v>0</v>
      </c>
      <c r="N51" s="39"/>
      <c r="O51" s="30">
        <f>SUM(J51+K51+L51+M51)</f>
        <v>11639036</v>
      </c>
    </row>
    <row r="52" spans="2:15" x14ac:dyDescent="0.25">
      <c r="D52" s="57"/>
      <c r="I52" s="58"/>
      <c r="J52" s="58"/>
    </row>
    <row r="53" spans="2:15" x14ac:dyDescent="0.25">
      <c r="B53" s="201" t="s">
        <v>17</v>
      </c>
      <c r="C53" s="201"/>
      <c r="D53" s="201"/>
      <c r="I53" s="58"/>
      <c r="J53" s="58"/>
    </row>
    <row r="54" spans="2:15" ht="15.75" x14ac:dyDescent="0.25">
      <c r="B54" s="188" t="s">
        <v>4</v>
      </c>
      <c r="C54" s="202" t="s">
        <v>23</v>
      </c>
      <c r="D54" s="188" t="s">
        <v>6</v>
      </c>
      <c r="E54" s="188" t="s">
        <v>7</v>
      </c>
      <c r="F54" s="188" t="s">
        <v>8</v>
      </c>
      <c r="G54" s="188" t="s">
        <v>9</v>
      </c>
      <c r="H54" s="188" t="s">
        <v>10</v>
      </c>
      <c r="I54" s="202" t="s">
        <v>24</v>
      </c>
      <c r="J54" s="169" t="s">
        <v>12</v>
      </c>
      <c r="K54" s="170"/>
      <c r="L54" s="170"/>
      <c r="M54" s="170"/>
      <c r="N54" s="171"/>
      <c r="O54" s="204" t="s">
        <v>13</v>
      </c>
    </row>
    <row r="55" spans="2:15" ht="15.75" x14ac:dyDescent="0.25">
      <c r="B55" s="189"/>
      <c r="C55" s="203"/>
      <c r="D55" s="189"/>
      <c r="E55" s="189"/>
      <c r="F55" s="189"/>
      <c r="G55" s="189"/>
      <c r="H55" s="189"/>
      <c r="I55" s="203"/>
      <c r="J55" s="164" t="s">
        <v>14</v>
      </c>
      <c r="K55" s="165"/>
      <c r="L55" s="166" t="s">
        <v>15</v>
      </c>
      <c r="M55" s="167"/>
      <c r="N55" s="4" t="s">
        <v>16</v>
      </c>
      <c r="O55" s="205"/>
    </row>
    <row r="56" spans="2:15" ht="15.75" x14ac:dyDescent="0.25">
      <c r="B56" s="5"/>
      <c r="C56" s="61"/>
      <c r="D56" s="5"/>
      <c r="E56" s="5"/>
      <c r="F56" s="5"/>
      <c r="G56" s="5"/>
      <c r="H56" s="5"/>
      <c r="I56" s="61"/>
      <c r="J56" s="62" t="s">
        <v>17</v>
      </c>
      <c r="K56" s="6" t="s">
        <v>18</v>
      </c>
      <c r="L56" s="10" t="s">
        <v>17</v>
      </c>
      <c r="M56" s="10" t="s">
        <v>18</v>
      </c>
      <c r="N56" s="4"/>
      <c r="O56" s="7"/>
    </row>
    <row r="57" spans="2:15" ht="15" customHeight="1" x14ac:dyDescent="0.25">
      <c r="B57" s="63">
        <v>1</v>
      </c>
      <c r="C57" s="43" t="s">
        <v>154</v>
      </c>
      <c r="D57" s="64" t="s">
        <v>316</v>
      </c>
      <c r="E57" s="65" t="s">
        <v>317</v>
      </c>
      <c r="F57" s="65" t="s">
        <v>215</v>
      </c>
      <c r="G57" s="66">
        <v>46176</v>
      </c>
      <c r="H57" s="66"/>
      <c r="I57" s="67">
        <v>961500</v>
      </c>
      <c r="J57" s="37">
        <f>I57</f>
        <v>961500</v>
      </c>
      <c r="K57" s="68"/>
      <c r="L57" s="69"/>
      <c r="M57" s="69"/>
      <c r="N57" s="22" t="s">
        <v>155</v>
      </c>
      <c r="O57" s="70"/>
    </row>
    <row r="58" spans="2:15" ht="15" customHeight="1" x14ac:dyDescent="0.25">
      <c r="B58" s="63">
        <v>2</v>
      </c>
      <c r="C58" s="43" t="s">
        <v>154</v>
      </c>
      <c r="D58" s="71" t="s">
        <v>318</v>
      </c>
      <c r="E58" s="71" t="s">
        <v>319</v>
      </c>
      <c r="F58" s="70" t="s">
        <v>215</v>
      </c>
      <c r="G58" s="66">
        <v>46176</v>
      </c>
      <c r="H58" s="72"/>
      <c r="I58" s="22">
        <v>555500</v>
      </c>
      <c r="J58" s="37">
        <f>I58</f>
        <v>555500</v>
      </c>
      <c r="K58" s="68"/>
      <c r="L58" s="24"/>
      <c r="M58" s="69"/>
      <c r="N58" s="22" t="s">
        <v>155</v>
      </c>
      <c r="O58" s="70"/>
    </row>
    <row r="59" spans="2:15" ht="15" customHeight="1" x14ac:dyDescent="0.25">
      <c r="B59" s="63">
        <v>3</v>
      </c>
      <c r="C59" s="43" t="s">
        <v>154</v>
      </c>
      <c r="D59" s="71" t="s">
        <v>320</v>
      </c>
      <c r="E59" s="71" t="s">
        <v>321</v>
      </c>
      <c r="F59" s="70" t="s">
        <v>206</v>
      </c>
      <c r="G59" s="66">
        <v>46176</v>
      </c>
      <c r="H59" s="72"/>
      <c r="I59" s="22">
        <v>217500</v>
      </c>
      <c r="J59" s="37"/>
      <c r="K59" s="68"/>
      <c r="L59" s="24">
        <f>I59</f>
        <v>217500</v>
      </c>
      <c r="M59" s="69"/>
      <c r="N59" s="22" t="s">
        <v>155</v>
      </c>
      <c r="O59" s="70"/>
    </row>
    <row r="60" spans="2:15" ht="15" customHeight="1" x14ac:dyDescent="0.25">
      <c r="B60" s="63">
        <v>4</v>
      </c>
      <c r="C60" s="43" t="s">
        <v>243</v>
      </c>
      <c r="D60" s="71" t="s">
        <v>322</v>
      </c>
      <c r="E60" s="71" t="s">
        <v>323</v>
      </c>
      <c r="F60" s="70" t="s">
        <v>187</v>
      </c>
      <c r="G60" s="66">
        <v>46176</v>
      </c>
      <c r="H60" s="72"/>
      <c r="I60" s="22">
        <v>1111000</v>
      </c>
      <c r="J60" s="37">
        <f>I60</f>
        <v>1111000</v>
      </c>
      <c r="K60" s="68"/>
      <c r="L60" s="24"/>
      <c r="M60" s="69"/>
      <c r="N60" s="22" t="s">
        <v>155</v>
      </c>
      <c r="O60" s="70"/>
    </row>
    <row r="61" spans="2:15" ht="15" customHeight="1" x14ac:dyDescent="0.25">
      <c r="B61" s="63">
        <v>5</v>
      </c>
      <c r="C61" s="43" t="s">
        <v>243</v>
      </c>
      <c r="D61" s="71" t="s">
        <v>324</v>
      </c>
      <c r="E61" s="71" t="s">
        <v>325</v>
      </c>
      <c r="F61" s="70" t="s">
        <v>326</v>
      </c>
      <c r="G61" s="66">
        <v>46176</v>
      </c>
      <c r="H61" s="72"/>
      <c r="I61" s="22">
        <v>23528</v>
      </c>
      <c r="J61" s="37"/>
      <c r="K61" s="68"/>
      <c r="L61" s="24">
        <f>I61</f>
        <v>23528</v>
      </c>
      <c r="M61" s="69"/>
      <c r="N61" s="22" t="s">
        <v>155</v>
      </c>
      <c r="O61" s="70"/>
    </row>
    <row r="62" spans="2:15" ht="15.75" x14ac:dyDescent="0.25">
      <c r="B62" s="169" t="s">
        <v>25</v>
      </c>
      <c r="C62" s="170"/>
      <c r="D62" s="170"/>
      <c r="E62" s="170"/>
      <c r="F62" s="170"/>
      <c r="G62" s="170"/>
      <c r="H62" s="170"/>
      <c r="I62" s="171"/>
      <c r="J62" s="25">
        <f>SUM(J57:J61)</f>
        <v>2628000</v>
      </c>
      <c r="K62" s="74">
        <f>SUM(K57:K61)</f>
        <v>0</v>
      </c>
      <c r="L62" s="60">
        <f>SUM(L57:L61)</f>
        <v>241028</v>
      </c>
      <c r="M62" s="60">
        <f>SUM(M57:M61)</f>
        <v>0</v>
      </c>
      <c r="N62" s="39"/>
      <c r="O62" s="75">
        <f>SUM(J62+K62+L62+M62)</f>
        <v>2869028</v>
      </c>
    </row>
    <row r="63" spans="2:15" ht="15.75" x14ac:dyDescent="0.25">
      <c r="B63" s="172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</row>
    <row r="64" spans="2:15" x14ac:dyDescent="0.25">
      <c r="B64" s="44">
        <v>1</v>
      </c>
      <c r="C64" s="12" t="s">
        <v>330</v>
      </c>
      <c r="D64" s="71" t="s">
        <v>327</v>
      </c>
      <c r="E64" s="71" t="s">
        <v>328</v>
      </c>
      <c r="F64" s="70" t="s">
        <v>329</v>
      </c>
      <c r="G64" s="66">
        <v>46176</v>
      </c>
      <c r="H64" s="72"/>
      <c r="I64" s="22">
        <v>215100</v>
      </c>
      <c r="J64" s="73">
        <f>I64</f>
        <v>215100</v>
      </c>
      <c r="K64" s="68"/>
      <c r="L64" s="69"/>
      <c r="M64" s="69"/>
      <c r="N64" s="22" t="s">
        <v>155</v>
      </c>
      <c r="O64" s="70"/>
    </row>
    <row r="65" spans="1:15" x14ac:dyDescent="0.25">
      <c r="B65" s="44">
        <v>2</v>
      </c>
      <c r="C65" s="12"/>
      <c r="D65" s="71"/>
      <c r="E65" s="71"/>
      <c r="F65" s="70"/>
      <c r="G65" s="66"/>
      <c r="H65" s="72"/>
      <c r="I65" s="22"/>
      <c r="J65" s="73"/>
      <c r="K65" s="68"/>
      <c r="L65" s="24"/>
      <c r="M65" s="24"/>
      <c r="N65" s="22"/>
      <c r="O65" s="70"/>
    </row>
    <row r="66" spans="1:15" ht="15.75" x14ac:dyDescent="0.25">
      <c r="A66" t="s">
        <v>3</v>
      </c>
      <c r="B66" s="169" t="s">
        <v>25</v>
      </c>
      <c r="C66" s="170"/>
      <c r="D66" s="170"/>
      <c r="E66" s="170"/>
      <c r="F66" s="170"/>
      <c r="G66" s="170"/>
      <c r="H66" s="170"/>
      <c r="I66" s="171"/>
      <c r="J66" s="76">
        <f>SUM(J64:J65)</f>
        <v>215100</v>
      </c>
      <c r="K66" s="74">
        <f>SUM(K64:K65)</f>
        <v>0</v>
      </c>
      <c r="L66" s="60">
        <f>SUM(L64:L65)</f>
        <v>0</v>
      </c>
      <c r="M66" s="60">
        <f>SUM(M64:M65)</f>
        <v>0</v>
      </c>
      <c r="N66" s="39"/>
      <c r="O66" s="75">
        <f>SUM(J66+K66+L66+M66)</f>
        <v>215100</v>
      </c>
    </row>
    <row r="67" spans="1:15" x14ac:dyDescent="0.25">
      <c r="D67" s="57"/>
      <c r="I67" s="58"/>
      <c r="J67" s="58"/>
    </row>
    <row r="68" spans="1:15" ht="15.75" x14ac:dyDescent="0.25">
      <c r="D68" s="57"/>
      <c r="G68" s="162" t="s">
        <v>1646</v>
      </c>
      <c r="H68" s="162"/>
      <c r="I68" s="163"/>
      <c r="J68" s="25">
        <f>SUM(J66+J62)</f>
        <v>2843100</v>
      </c>
      <c r="K68" s="74">
        <f>SUM(K66+K62)</f>
        <v>0</v>
      </c>
      <c r="L68" s="60">
        <f>SUM(L66+L62)</f>
        <v>241028</v>
      </c>
      <c r="M68" s="60">
        <f>SUM(M66+M62)</f>
        <v>0</v>
      </c>
      <c r="N68" s="39"/>
      <c r="O68" s="77">
        <f>SUM(J68+K68+L68+M68)</f>
        <v>3084128</v>
      </c>
    </row>
    <row r="69" spans="1:15" ht="15.75" x14ac:dyDescent="0.25">
      <c r="D69" s="57"/>
      <c r="H69" s="41"/>
      <c r="I69" s="41"/>
      <c r="J69" s="41"/>
      <c r="K69" s="78"/>
      <c r="L69" s="78"/>
      <c r="M69" s="78"/>
      <c r="N69" s="79"/>
      <c r="O69" s="80"/>
    </row>
    <row r="70" spans="1:15" ht="15.75" x14ac:dyDescent="0.25">
      <c r="D70" s="57"/>
      <c r="H70" s="174" t="s">
        <v>27</v>
      </c>
      <c r="I70" s="175"/>
      <c r="J70" s="180" t="s">
        <v>14</v>
      </c>
      <c r="K70" s="180"/>
      <c r="L70" s="181" t="s">
        <v>15</v>
      </c>
      <c r="M70" s="181"/>
      <c r="N70" s="70"/>
      <c r="O70" s="182"/>
    </row>
    <row r="71" spans="1:15" ht="15.75" x14ac:dyDescent="0.25">
      <c r="D71" s="57"/>
      <c r="H71" s="176"/>
      <c r="I71" s="177"/>
      <c r="J71" s="6" t="s">
        <v>17</v>
      </c>
      <c r="K71" s="81" t="s">
        <v>18</v>
      </c>
      <c r="L71" s="82" t="s">
        <v>17</v>
      </c>
      <c r="M71" s="82" t="s">
        <v>18</v>
      </c>
      <c r="N71" s="70"/>
      <c r="O71" s="182"/>
    </row>
    <row r="72" spans="1:15" ht="15.75" x14ac:dyDescent="0.25">
      <c r="D72" s="57"/>
      <c r="H72" s="178"/>
      <c r="I72" s="179"/>
      <c r="J72" s="74">
        <f>SUM(J51,J68)</f>
        <v>12002100</v>
      </c>
      <c r="K72" s="74">
        <f>SUM(K68+K51)</f>
        <v>645300</v>
      </c>
      <c r="L72" s="60">
        <f>SUM(L68+L51)</f>
        <v>2075764</v>
      </c>
      <c r="M72" s="60">
        <f>SUM(M68+M51)</f>
        <v>0</v>
      </c>
      <c r="N72" s="39"/>
      <c r="O72" s="182"/>
    </row>
    <row r="73" spans="1:15" x14ac:dyDescent="0.25">
      <c r="D73" s="57"/>
      <c r="I73" s="58"/>
      <c r="J73" s="58"/>
    </row>
    <row r="74" spans="1:15" ht="18.75" x14ac:dyDescent="0.3">
      <c r="D74" s="57"/>
      <c r="H74" s="183"/>
      <c r="I74" s="183"/>
      <c r="J74" s="83"/>
      <c r="L74" s="184" t="s">
        <v>28</v>
      </c>
      <c r="M74" s="185"/>
      <c r="N74" s="84">
        <f>SUM(J72+L72)</f>
        <v>14077864</v>
      </c>
      <c r="O74" s="186">
        <f>SUM(N74+N75)</f>
        <v>14723164</v>
      </c>
    </row>
    <row r="75" spans="1:15" ht="18.75" x14ac:dyDescent="0.3">
      <c r="D75" s="57"/>
      <c r="H75" s="183"/>
      <c r="I75" s="183"/>
      <c r="J75" s="83"/>
      <c r="L75" s="184" t="s">
        <v>29</v>
      </c>
      <c r="M75" s="185"/>
      <c r="N75" s="84">
        <f>SUM(K72+M72)</f>
        <v>645300</v>
      </c>
      <c r="O75" s="187"/>
    </row>
    <row r="76" spans="1:15" ht="18.75" x14ac:dyDescent="0.3">
      <c r="D76" s="57"/>
      <c r="H76" s="168"/>
      <c r="I76" s="168"/>
      <c r="J76" s="85"/>
      <c r="K76" s="86"/>
    </row>
    <row r="77" spans="1:15" x14ac:dyDescent="0.25">
      <c r="D77" s="2" t="s">
        <v>30</v>
      </c>
      <c r="E77" s="1"/>
      <c r="F77" s="1"/>
      <c r="G77" s="1"/>
      <c r="H77" s="1"/>
      <c r="I77" s="1"/>
      <c r="J77" s="1"/>
      <c r="K77" s="1"/>
    </row>
    <row r="78" spans="1:15" x14ac:dyDescent="0.25">
      <c r="D78" s="2"/>
      <c r="E78" s="1"/>
      <c r="F78" s="1"/>
      <c r="G78" s="1"/>
      <c r="H78" s="1"/>
      <c r="I78" s="1"/>
      <c r="J78" s="1"/>
      <c r="K78" s="1"/>
    </row>
    <row r="79" spans="1:15" x14ac:dyDescent="0.25">
      <c r="D79" s="3" t="s">
        <v>31</v>
      </c>
      <c r="E79" s="3"/>
      <c r="F79" s="3" t="s">
        <v>32</v>
      </c>
      <c r="G79" s="3"/>
      <c r="H79" s="3" t="s">
        <v>33</v>
      </c>
      <c r="I79" s="3"/>
      <c r="J79" s="3" t="s">
        <v>34</v>
      </c>
      <c r="K79" s="3"/>
    </row>
    <row r="80" spans="1:15" x14ac:dyDescent="0.25">
      <c r="D80" s="3"/>
      <c r="E80" s="3"/>
      <c r="F80" s="3"/>
      <c r="G80" s="3"/>
      <c r="H80" s="3"/>
      <c r="I80" s="3"/>
      <c r="J80" s="3"/>
      <c r="K80" s="3"/>
    </row>
    <row r="81" spans="4:11" x14ac:dyDescent="0.25">
      <c r="D81" s="3"/>
      <c r="E81" s="3"/>
      <c r="F81" s="3"/>
      <c r="G81" s="3"/>
      <c r="H81" s="3"/>
      <c r="I81" s="3"/>
      <c r="J81" s="3"/>
      <c r="K81" s="3"/>
    </row>
    <row r="82" spans="4:11" x14ac:dyDescent="0.25">
      <c r="D82" s="3"/>
      <c r="E82" s="3"/>
      <c r="F82" s="3"/>
      <c r="G82" s="3"/>
      <c r="H82" s="3"/>
      <c r="I82" s="3"/>
      <c r="J82" s="3"/>
      <c r="K82" s="3"/>
    </row>
    <row r="83" spans="4:11" x14ac:dyDescent="0.25">
      <c r="D83" s="3" t="s">
        <v>35</v>
      </c>
      <c r="E83" s="3"/>
      <c r="F83" s="3" t="s">
        <v>36</v>
      </c>
      <c r="G83" s="3"/>
      <c r="H83" s="3" t="s">
        <v>36</v>
      </c>
      <c r="I83" s="3"/>
      <c r="J83" s="3" t="s">
        <v>37</v>
      </c>
      <c r="K83" s="3"/>
    </row>
    <row r="84" spans="4:11" x14ac:dyDescent="0.25">
      <c r="D84" s="57"/>
    </row>
    <row r="85" spans="4:11" x14ac:dyDescent="0.25">
      <c r="D85" s="57"/>
    </row>
    <row r="86" spans="4:11" x14ac:dyDescent="0.25">
      <c r="D86" s="57"/>
    </row>
    <row r="87" spans="4:11" x14ac:dyDescent="0.25">
      <c r="D87" s="57"/>
    </row>
    <row r="88" spans="4:11" x14ac:dyDescent="0.25">
      <c r="D88" s="57"/>
    </row>
  </sheetData>
  <mergeCells count="48">
    <mergeCell ref="O54:O55"/>
    <mergeCell ref="J55:K55"/>
    <mergeCell ref="L55:M55"/>
    <mergeCell ref="H76:I76"/>
    <mergeCell ref="B62:I62"/>
    <mergeCell ref="B63:O63"/>
    <mergeCell ref="B66:I66"/>
    <mergeCell ref="H70:I72"/>
    <mergeCell ref="J70:K70"/>
    <mergeCell ref="L70:M70"/>
    <mergeCell ref="O70:O72"/>
    <mergeCell ref="H74:I74"/>
    <mergeCell ref="L74:M74"/>
    <mergeCell ref="O74:O75"/>
    <mergeCell ref="H75:I75"/>
    <mergeCell ref="L75:M75"/>
    <mergeCell ref="L7:M7"/>
    <mergeCell ref="G54:G55"/>
    <mergeCell ref="B22:O22"/>
    <mergeCell ref="B32:I32"/>
    <mergeCell ref="B33:O33"/>
    <mergeCell ref="B48:I48"/>
    <mergeCell ref="G51:I51"/>
    <mergeCell ref="B53:D53"/>
    <mergeCell ref="B54:B55"/>
    <mergeCell ref="C54:C55"/>
    <mergeCell ref="D54:D55"/>
    <mergeCell ref="E54:E55"/>
    <mergeCell ref="F54:F55"/>
    <mergeCell ref="H54:H55"/>
    <mergeCell ref="I54:I55"/>
    <mergeCell ref="J54:N54"/>
    <mergeCell ref="G68:I68"/>
    <mergeCell ref="B21:I21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" right="0" top="0" bottom="0" header="0" footer="0"/>
  <pageSetup paperSize="9" scale="6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EF11-7D36-4B82-BDDA-3BD7FFBC0649}">
  <dimension ref="A2:Q100"/>
  <sheetViews>
    <sheetView topLeftCell="B64" workbookViewId="0">
      <selection activeCell="G80" sqref="G80:I80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331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5</v>
      </c>
      <c r="C9" s="12" t="s">
        <v>19</v>
      </c>
      <c r="D9" s="13" t="s">
        <v>334</v>
      </c>
      <c r="E9" s="14" t="s">
        <v>335</v>
      </c>
      <c r="F9" s="15" t="s">
        <v>336</v>
      </c>
      <c r="G9" s="16">
        <v>46164</v>
      </c>
      <c r="H9" s="16">
        <v>46177</v>
      </c>
      <c r="I9" s="23">
        <v>113600</v>
      </c>
      <c r="J9" s="18">
        <f t="shared" ref="J9:J10" si="0">I9</f>
        <v>113600</v>
      </c>
      <c r="K9" s="19"/>
      <c r="L9" s="24"/>
      <c r="M9" s="24"/>
      <c r="N9" s="22" t="s">
        <v>155</v>
      </c>
      <c r="O9" s="22"/>
    </row>
    <row r="10" spans="2:17" x14ac:dyDescent="0.25">
      <c r="B10" s="11">
        <v>7</v>
      </c>
      <c r="C10" s="12"/>
      <c r="D10" s="13" t="s">
        <v>337</v>
      </c>
      <c r="E10" s="14" t="s">
        <v>143</v>
      </c>
      <c r="F10" s="15" t="s">
        <v>338</v>
      </c>
      <c r="G10" s="16">
        <v>46164</v>
      </c>
      <c r="H10" s="16">
        <v>46177</v>
      </c>
      <c r="I10" s="23">
        <v>2211500</v>
      </c>
      <c r="J10" s="18">
        <f t="shared" si="0"/>
        <v>2211500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8</v>
      </c>
      <c r="C11" s="12"/>
      <c r="D11" s="13" t="s">
        <v>264</v>
      </c>
      <c r="E11" s="14" t="s">
        <v>256</v>
      </c>
      <c r="F11" s="15" t="s">
        <v>246</v>
      </c>
      <c r="G11" s="16">
        <v>46163</v>
      </c>
      <c r="H11" s="16">
        <v>46176</v>
      </c>
      <c r="I11" s="23">
        <v>579580</v>
      </c>
      <c r="J11" s="18"/>
      <c r="K11" s="19"/>
      <c r="L11" s="24">
        <f>I11</f>
        <v>579580</v>
      </c>
      <c r="M11" s="24"/>
      <c r="N11" s="22" t="s">
        <v>155</v>
      </c>
      <c r="O11" s="22"/>
    </row>
    <row r="12" spans="2:17" x14ac:dyDescent="0.25">
      <c r="B12" s="11">
        <v>11</v>
      </c>
      <c r="C12" s="12"/>
      <c r="D12" s="13" t="s">
        <v>339</v>
      </c>
      <c r="E12" s="14" t="s">
        <v>340</v>
      </c>
      <c r="F12" s="15" t="s">
        <v>341</v>
      </c>
      <c r="G12" s="16">
        <v>46161</v>
      </c>
      <c r="H12" s="16">
        <v>46174</v>
      </c>
      <c r="I12" s="23">
        <v>1411200</v>
      </c>
      <c r="J12" s="18"/>
      <c r="K12" s="19"/>
      <c r="L12" s="24">
        <f t="shared" ref="L12:L15" si="1">I12</f>
        <v>1411200</v>
      </c>
      <c r="M12" s="24"/>
      <c r="N12" s="22" t="s">
        <v>155</v>
      </c>
      <c r="O12" s="22"/>
    </row>
    <row r="13" spans="2:17" x14ac:dyDescent="0.25">
      <c r="B13" s="11">
        <v>12</v>
      </c>
      <c r="C13" s="12"/>
      <c r="D13" s="13" t="s">
        <v>342</v>
      </c>
      <c r="E13" s="14" t="s">
        <v>332</v>
      </c>
      <c r="F13" s="15" t="s">
        <v>333</v>
      </c>
      <c r="G13" s="16">
        <v>46164</v>
      </c>
      <c r="H13" s="16">
        <v>46177</v>
      </c>
      <c r="I13" s="23">
        <v>899000</v>
      </c>
      <c r="J13" s="18"/>
      <c r="K13" s="19"/>
      <c r="L13" s="24">
        <f t="shared" si="1"/>
        <v>899000</v>
      </c>
      <c r="M13" s="24"/>
      <c r="N13" s="22" t="s">
        <v>155</v>
      </c>
      <c r="O13" s="22"/>
    </row>
    <row r="14" spans="2:17" x14ac:dyDescent="0.25">
      <c r="B14" s="11">
        <v>14</v>
      </c>
      <c r="C14" s="12"/>
      <c r="D14" s="13" t="s">
        <v>343</v>
      </c>
      <c r="E14" s="14" t="s">
        <v>344</v>
      </c>
      <c r="F14" s="15" t="s">
        <v>345</v>
      </c>
      <c r="G14" s="16">
        <v>46164</v>
      </c>
      <c r="H14" s="16">
        <v>46177</v>
      </c>
      <c r="I14" s="23">
        <v>217130</v>
      </c>
      <c r="J14" s="18"/>
      <c r="K14" s="19"/>
      <c r="L14" s="24">
        <f t="shared" si="1"/>
        <v>217130</v>
      </c>
      <c r="M14" s="24"/>
      <c r="N14" s="22" t="s">
        <v>155</v>
      </c>
      <c r="O14" s="22"/>
    </row>
    <row r="15" spans="2:17" x14ac:dyDescent="0.25">
      <c r="B15" s="11">
        <v>15</v>
      </c>
      <c r="C15" s="12"/>
      <c r="D15" s="13" t="s">
        <v>346</v>
      </c>
      <c r="E15" s="14" t="s">
        <v>143</v>
      </c>
      <c r="F15" s="15" t="s">
        <v>338</v>
      </c>
      <c r="G15" s="16">
        <v>46164</v>
      </c>
      <c r="H15" s="16">
        <v>46177</v>
      </c>
      <c r="I15" s="23">
        <v>770000</v>
      </c>
      <c r="J15" s="18"/>
      <c r="K15" s="19"/>
      <c r="L15" s="24">
        <f t="shared" si="1"/>
        <v>770000</v>
      </c>
      <c r="M15" s="24"/>
      <c r="N15" s="22" t="s">
        <v>155</v>
      </c>
      <c r="O15" s="22"/>
    </row>
    <row r="16" spans="2:17" x14ac:dyDescent="0.25">
      <c r="B16" s="11">
        <v>17</v>
      </c>
      <c r="C16" s="12"/>
      <c r="D16" s="13" t="s">
        <v>347</v>
      </c>
      <c r="E16" s="14" t="s">
        <v>335</v>
      </c>
      <c r="F16" s="15" t="s">
        <v>336</v>
      </c>
      <c r="G16" s="16">
        <v>46164</v>
      </c>
      <c r="H16" s="16">
        <v>46177</v>
      </c>
      <c r="I16" s="23">
        <v>72000</v>
      </c>
      <c r="J16" s="18"/>
      <c r="K16" s="19"/>
      <c r="L16" s="24">
        <f t="shared" ref="L16" si="2">I16</f>
        <v>72000</v>
      </c>
      <c r="M16" s="24"/>
      <c r="N16" s="22" t="s">
        <v>155</v>
      </c>
      <c r="O16" s="22"/>
    </row>
    <row r="17" spans="2:15" x14ac:dyDescent="0.25">
      <c r="B17" s="11">
        <v>18</v>
      </c>
      <c r="C17" s="12" t="s">
        <v>442</v>
      </c>
      <c r="D17" s="13" t="s">
        <v>443</v>
      </c>
      <c r="E17" s="14" t="s">
        <v>444</v>
      </c>
      <c r="F17" s="15" t="s">
        <v>445</v>
      </c>
      <c r="G17" s="16">
        <v>45301</v>
      </c>
      <c r="H17" s="16">
        <v>45314</v>
      </c>
      <c r="I17" s="23"/>
      <c r="J17" s="18">
        <v>1000000</v>
      </c>
      <c r="K17" s="19"/>
      <c r="L17" s="24"/>
      <c r="M17" s="24"/>
      <c r="N17" s="22" t="s">
        <v>446</v>
      </c>
      <c r="O17" s="22"/>
    </row>
    <row r="18" spans="2:15" ht="15.75" x14ac:dyDescent="0.25">
      <c r="B18" s="169" t="s">
        <v>13</v>
      </c>
      <c r="C18" s="170"/>
      <c r="D18" s="170"/>
      <c r="E18" s="170"/>
      <c r="F18" s="170"/>
      <c r="G18" s="170"/>
      <c r="H18" s="170"/>
      <c r="I18" s="171"/>
      <c r="J18" s="25">
        <f>SUM(J9:J17)</f>
        <v>3325100</v>
      </c>
      <c r="K18" s="26">
        <f>SUM(K9:K17)</f>
        <v>0</v>
      </c>
      <c r="L18" s="27">
        <f>SUM(L9:L17)</f>
        <v>3948910</v>
      </c>
      <c r="M18" s="28">
        <f>SUM(M9:M17)</f>
        <v>0</v>
      </c>
      <c r="N18" s="29"/>
      <c r="O18" s="30">
        <f>SUM(J18+K18+L18+M18)</f>
        <v>7274010</v>
      </c>
    </row>
    <row r="19" spans="2:15" ht="15.75" x14ac:dyDescent="0.25">
      <c r="B19" s="190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</row>
    <row r="20" spans="2:15" x14ac:dyDescent="0.25">
      <c r="B20" s="11">
        <v>1</v>
      </c>
      <c r="C20" s="31" t="s">
        <v>20</v>
      </c>
      <c r="D20" s="13" t="s">
        <v>348</v>
      </c>
      <c r="E20" s="32" t="s">
        <v>349</v>
      </c>
      <c r="F20" s="33" t="s">
        <v>271</v>
      </c>
      <c r="G20" s="34">
        <v>46149</v>
      </c>
      <c r="H20" s="35">
        <v>46162</v>
      </c>
      <c r="I20" s="36">
        <v>115100</v>
      </c>
      <c r="J20" s="37">
        <f>I20</f>
        <v>115100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2</v>
      </c>
      <c r="C21" s="31"/>
      <c r="D21" s="13" t="s">
        <v>350</v>
      </c>
      <c r="E21" s="32" t="s">
        <v>351</v>
      </c>
      <c r="F21" s="33" t="s">
        <v>352</v>
      </c>
      <c r="G21" s="34">
        <v>46149</v>
      </c>
      <c r="H21" s="35">
        <v>46162</v>
      </c>
      <c r="I21" s="36">
        <v>327900</v>
      </c>
      <c r="J21" s="37">
        <f t="shared" ref="J21:J33" si="3">I21</f>
        <v>327900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3</v>
      </c>
      <c r="C22" s="31"/>
      <c r="D22" s="13" t="s">
        <v>355</v>
      </c>
      <c r="E22" s="32" t="s">
        <v>356</v>
      </c>
      <c r="F22" s="33" t="s">
        <v>352</v>
      </c>
      <c r="G22" s="34">
        <v>46153</v>
      </c>
      <c r="H22" s="35">
        <v>46166</v>
      </c>
      <c r="I22" s="36">
        <v>215100</v>
      </c>
      <c r="J22" s="37">
        <f t="shared" si="3"/>
        <v>215100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4</v>
      </c>
      <c r="C23" s="31"/>
      <c r="D23" s="13" t="s">
        <v>357</v>
      </c>
      <c r="E23" s="32" t="s">
        <v>358</v>
      </c>
      <c r="F23" s="33" t="s">
        <v>353</v>
      </c>
      <c r="G23" s="34">
        <v>46164</v>
      </c>
      <c r="H23" s="35">
        <v>46177</v>
      </c>
      <c r="I23" s="36">
        <v>430200</v>
      </c>
      <c r="J23" s="37">
        <v>200000</v>
      </c>
      <c r="K23" s="19"/>
      <c r="L23" s="24"/>
      <c r="M23" s="24"/>
      <c r="N23" s="22" t="s">
        <v>158</v>
      </c>
      <c r="O23" s="22"/>
    </row>
    <row r="24" spans="2:15" x14ac:dyDescent="0.25">
      <c r="B24" s="11">
        <v>5</v>
      </c>
      <c r="C24" s="31"/>
      <c r="D24" s="13" t="s">
        <v>359</v>
      </c>
      <c r="E24" s="32" t="s">
        <v>360</v>
      </c>
      <c r="F24" s="33" t="s">
        <v>354</v>
      </c>
      <c r="G24" s="34">
        <v>46164</v>
      </c>
      <c r="H24" s="35">
        <v>46177</v>
      </c>
      <c r="I24" s="36">
        <v>974000</v>
      </c>
      <c r="J24" s="37">
        <v>400000</v>
      </c>
      <c r="K24" s="19"/>
      <c r="L24" s="24"/>
      <c r="M24" s="24"/>
      <c r="N24" s="22" t="s">
        <v>158</v>
      </c>
      <c r="O24" s="22"/>
    </row>
    <row r="25" spans="2:15" x14ac:dyDescent="0.25">
      <c r="B25" s="11">
        <v>6</v>
      </c>
      <c r="C25" s="31"/>
      <c r="D25" s="13" t="s">
        <v>361</v>
      </c>
      <c r="E25" s="32" t="s">
        <v>362</v>
      </c>
      <c r="F25" s="33" t="s">
        <v>354</v>
      </c>
      <c r="G25" s="34">
        <v>46164</v>
      </c>
      <c r="H25" s="35">
        <v>46177</v>
      </c>
      <c r="I25" s="36">
        <v>543800</v>
      </c>
      <c r="J25" s="37">
        <f t="shared" si="3"/>
        <v>543800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7</v>
      </c>
      <c r="C26" s="31"/>
      <c r="D26" s="13" t="s">
        <v>363</v>
      </c>
      <c r="E26" s="32" t="s">
        <v>364</v>
      </c>
      <c r="F26" s="33" t="s">
        <v>365</v>
      </c>
      <c r="G26" s="34">
        <v>46164</v>
      </c>
      <c r="H26" s="35">
        <v>46177</v>
      </c>
      <c r="I26" s="36">
        <v>113600</v>
      </c>
      <c r="J26" s="37">
        <f t="shared" si="3"/>
        <v>113600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8</v>
      </c>
      <c r="C27" s="31"/>
      <c r="D27" s="13" t="s">
        <v>366</v>
      </c>
      <c r="E27" s="32" t="s">
        <v>367</v>
      </c>
      <c r="F27" s="33" t="s">
        <v>365</v>
      </c>
      <c r="G27" s="34">
        <v>46164</v>
      </c>
      <c r="H27" s="35">
        <v>46177</v>
      </c>
      <c r="I27" s="36">
        <v>2719000</v>
      </c>
      <c r="J27" s="37">
        <v>1219000</v>
      </c>
      <c r="K27" s="19"/>
      <c r="L27" s="24"/>
      <c r="M27" s="24"/>
      <c r="N27" s="22" t="s">
        <v>158</v>
      </c>
      <c r="O27" s="22"/>
    </row>
    <row r="28" spans="2:15" x14ac:dyDescent="0.25">
      <c r="B28" s="11">
        <v>9</v>
      </c>
      <c r="C28" s="31"/>
      <c r="D28" s="13" t="s">
        <v>368</v>
      </c>
      <c r="E28" s="32" t="s">
        <v>369</v>
      </c>
      <c r="F28" s="33" t="s">
        <v>365</v>
      </c>
      <c r="G28" s="34">
        <v>46164</v>
      </c>
      <c r="H28" s="35">
        <v>46177</v>
      </c>
      <c r="I28" s="36">
        <v>328700</v>
      </c>
      <c r="J28" s="37">
        <f t="shared" si="3"/>
        <v>328700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10</v>
      </c>
      <c r="C29" s="31"/>
      <c r="D29" s="13" t="s">
        <v>272</v>
      </c>
      <c r="E29" s="32" t="s">
        <v>273</v>
      </c>
      <c r="F29" s="33" t="s">
        <v>271</v>
      </c>
      <c r="G29" s="34">
        <v>46163</v>
      </c>
      <c r="H29" s="35">
        <v>46176</v>
      </c>
      <c r="I29" s="36">
        <v>200000</v>
      </c>
      <c r="J29" s="37">
        <f t="shared" si="3"/>
        <v>200000</v>
      </c>
      <c r="K29" s="19"/>
      <c r="L29" s="24"/>
      <c r="M29" s="24"/>
      <c r="N29" s="22" t="s">
        <v>155</v>
      </c>
      <c r="O29" s="22"/>
    </row>
    <row r="30" spans="2:15" x14ac:dyDescent="0.25">
      <c r="B30" s="11">
        <v>11</v>
      </c>
      <c r="C30" s="31"/>
      <c r="D30" s="13" t="s">
        <v>274</v>
      </c>
      <c r="E30" s="32" t="s">
        <v>275</v>
      </c>
      <c r="F30" s="33" t="s">
        <v>271</v>
      </c>
      <c r="G30" s="34">
        <v>46163</v>
      </c>
      <c r="H30" s="35">
        <v>46176</v>
      </c>
      <c r="I30" s="36">
        <v>128700</v>
      </c>
      <c r="J30" s="37">
        <f t="shared" si="3"/>
        <v>128700</v>
      </c>
      <c r="K30" s="19"/>
      <c r="L30" s="24"/>
      <c r="M30" s="24"/>
      <c r="N30" s="22" t="s">
        <v>155</v>
      </c>
      <c r="O30" s="22"/>
    </row>
    <row r="31" spans="2:15" x14ac:dyDescent="0.25">
      <c r="B31" s="11">
        <v>12</v>
      </c>
      <c r="C31" s="31"/>
      <c r="D31" s="13" t="s">
        <v>370</v>
      </c>
      <c r="E31" s="32" t="s">
        <v>371</v>
      </c>
      <c r="F31" s="33" t="s">
        <v>372</v>
      </c>
      <c r="G31" s="34">
        <v>46163</v>
      </c>
      <c r="H31" s="35">
        <v>46176</v>
      </c>
      <c r="I31" s="36">
        <v>543800</v>
      </c>
      <c r="J31" s="37">
        <f t="shared" si="3"/>
        <v>543800</v>
      </c>
      <c r="K31" s="19"/>
      <c r="L31" s="24"/>
      <c r="M31" s="24"/>
      <c r="N31" s="22" t="s">
        <v>155</v>
      </c>
      <c r="O31" s="22"/>
    </row>
    <row r="32" spans="2:15" x14ac:dyDescent="0.25">
      <c r="B32" s="11">
        <v>13</v>
      </c>
      <c r="C32" s="31"/>
      <c r="D32" s="13" t="s">
        <v>373</v>
      </c>
      <c r="E32" s="32" t="s">
        <v>374</v>
      </c>
      <c r="F32" s="33" t="s">
        <v>280</v>
      </c>
      <c r="G32" s="34">
        <v>46162</v>
      </c>
      <c r="H32" s="35">
        <v>46175</v>
      </c>
      <c r="I32" s="36">
        <v>328700</v>
      </c>
      <c r="J32" s="37">
        <f t="shared" si="3"/>
        <v>328700</v>
      </c>
      <c r="K32" s="19"/>
      <c r="L32" s="24"/>
      <c r="M32" s="24"/>
      <c r="N32" s="22" t="s">
        <v>155</v>
      </c>
      <c r="O32" s="22"/>
    </row>
    <row r="33" spans="2:15" x14ac:dyDescent="0.25">
      <c r="B33" s="11">
        <v>14</v>
      </c>
      <c r="C33" s="31"/>
      <c r="D33" s="13" t="s">
        <v>375</v>
      </c>
      <c r="E33" s="32" t="s">
        <v>376</v>
      </c>
      <c r="F33" s="33" t="s">
        <v>377</v>
      </c>
      <c r="G33" s="34">
        <v>46162</v>
      </c>
      <c r="H33" s="35">
        <v>46175</v>
      </c>
      <c r="I33" s="36">
        <v>430200</v>
      </c>
      <c r="J33" s="37">
        <f t="shared" si="3"/>
        <v>430200</v>
      </c>
      <c r="K33" s="19"/>
      <c r="L33" s="24"/>
      <c r="M33" s="24"/>
      <c r="N33" s="22" t="s">
        <v>155</v>
      </c>
      <c r="O33" s="22"/>
    </row>
    <row r="34" spans="2:15" x14ac:dyDescent="0.25">
      <c r="B34" s="11">
        <v>15</v>
      </c>
      <c r="C34" s="31"/>
      <c r="D34" s="13" t="s">
        <v>378</v>
      </c>
      <c r="E34" s="32" t="s">
        <v>379</v>
      </c>
      <c r="F34" s="33" t="s">
        <v>240</v>
      </c>
      <c r="G34" s="34">
        <v>46160</v>
      </c>
      <c r="H34" s="35">
        <v>46173</v>
      </c>
      <c r="I34" s="36">
        <v>780000</v>
      </c>
      <c r="J34" s="37"/>
      <c r="K34" s="19"/>
      <c r="L34" s="24">
        <f>I34</f>
        <v>780000</v>
      </c>
      <c r="M34" s="24"/>
      <c r="N34" s="22" t="s">
        <v>155</v>
      </c>
      <c r="O34" s="22"/>
    </row>
    <row r="35" spans="2:15" x14ac:dyDescent="0.25">
      <c r="B35" s="11">
        <v>16</v>
      </c>
      <c r="C35" s="31"/>
      <c r="D35" s="13" t="s">
        <v>380</v>
      </c>
      <c r="E35" s="32" t="s">
        <v>381</v>
      </c>
      <c r="F35" s="33" t="s">
        <v>271</v>
      </c>
      <c r="G35" s="34">
        <v>46162</v>
      </c>
      <c r="H35" s="35">
        <v>46175</v>
      </c>
      <c r="I35" s="36">
        <v>231000</v>
      </c>
      <c r="J35" s="37"/>
      <c r="K35" s="19"/>
      <c r="L35" s="24">
        <f t="shared" ref="L35:L40" si="4">I35</f>
        <v>231000</v>
      </c>
      <c r="M35" s="24"/>
      <c r="N35" s="22" t="s">
        <v>155</v>
      </c>
      <c r="O35" s="22"/>
    </row>
    <row r="36" spans="2:15" x14ac:dyDescent="0.25">
      <c r="B36" s="11">
        <v>17</v>
      </c>
      <c r="C36" s="31"/>
      <c r="D36" s="13" t="s">
        <v>382</v>
      </c>
      <c r="E36" s="32" t="s">
        <v>374</v>
      </c>
      <c r="F36" s="33" t="s">
        <v>280</v>
      </c>
      <c r="G36" s="34">
        <v>46162</v>
      </c>
      <c r="H36" s="35">
        <v>46175</v>
      </c>
      <c r="I36" s="36">
        <v>117140</v>
      </c>
      <c r="J36" s="37"/>
      <c r="K36" s="19"/>
      <c r="L36" s="24">
        <f t="shared" si="4"/>
        <v>117140</v>
      </c>
      <c r="M36" s="24"/>
      <c r="N36" s="22" t="s">
        <v>155</v>
      </c>
      <c r="O36" s="22"/>
    </row>
    <row r="37" spans="2:15" x14ac:dyDescent="0.25">
      <c r="B37" s="11">
        <v>18</v>
      </c>
      <c r="C37" s="31"/>
      <c r="D37" s="13" t="s">
        <v>383</v>
      </c>
      <c r="E37" s="32" t="s">
        <v>360</v>
      </c>
      <c r="F37" s="33" t="s">
        <v>354</v>
      </c>
      <c r="G37" s="34">
        <v>46164</v>
      </c>
      <c r="H37" s="35">
        <v>46177</v>
      </c>
      <c r="I37" s="36">
        <v>138054</v>
      </c>
      <c r="J37" s="37"/>
      <c r="K37" s="19"/>
      <c r="L37" s="24">
        <f t="shared" si="4"/>
        <v>138054</v>
      </c>
      <c r="M37" s="24"/>
      <c r="N37" s="22" t="s">
        <v>155</v>
      </c>
      <c r="O37" s="22"/>
    </row>
    <row r="38" spans="2:15" x14ac:dyDescent="0.25">
      <c r="B38" s="11">
        <v>19</v>
      </c>
      <c r="C38" s="31"/>
      <c r="D38" s="13" t="s">
        <v>384</v>
      </c>
      <c r="E38" s="32" t="s">
        <v>385</v>
      </c>
      <c r="F38" s="33" t="s">
        <v>353</v>
      </c>
      <c r="G38" s="34">
        <v>46164</v>
      </c>
      <c r="H38" s="35">
        <v>46177</v>
      </c>
      <c r="I38" s="36">
        <v>39000</v>
      </c>
      <c r="J38" s="37"/>
      <c r="K38" s="19"/>
      <c r="L38" s="24">
        <f t="shared" si="4"/>
        <v>39000</v>
      </c>
      <c r="M38" s="24"/>
      <c r="N38" s="22" t="s">
        <v>155</v>
      </c>
      <c r="O38" s="22"/>
    </row>
    <row r="39" spans="2:15" x14ac:dyDescent="0.25">
      <c r="B39" s="11">
        <v>20</v>
      </c>
      <c r="C39" s="31"/>
      <c r="D39" s="13" t="s">
        <v>386</v>
      </c>
      <c r="E39" s="32" t="s">
        <v>387</v>
      </c>
      <c r="F39" s="33" t="s">
        <v>388</v>
      </c>
      <c r="G39" s="34">
        <v>46164</v>
      </c>
      <c r="H39" s="35">
        <v>46177</v>
      </c>
      <c r="I39" s="36">
        <v>217500</v>
      </c>
      <c r="J39" s="37"/>
      <c r="K39" s="19"/>
      <c r="L39" s="24">
        <f t="shared" si="4"/>
        <v>217500</v>
      </c>
      <c r="M39" s="24"/>
      <c r="N39" s="22" t="s">
        <v>155</v>
      </c>
      <c r="O39" s="22"/>
    </row>
    <row r="40" spans="2:15" x14ac:dyDescent="0.25">
      <c r="B40" s="11">
        <v>21</v>
      </c>
      <c r="C40" s="31"/>
      <c r="D40" s="13" t="s">
        <v>389</v>
      </c>
      <c r="E40" s="32" t="s">
        <v>379</v>
      </c>
      <c r="F40" s="33" t="s">
        <v>388</v>
      </c>
      <c r="G40" s="34">
        <v>46164</v>
      </c>
      <c r="H40" s="35">
        <v>46177</v>
      </c>
      <c r="I40" s="36">
        <v>870000</v>
      </c>
      <c r="J40" s="37"/>
      <c r="K40" s="19"/>
      <c r="L40" s="24">
        <f t="shared" si="4"/>
        <v>870000</v>
      </c>
      <c r="M40" s="24"/>
      <c r="N40" s="22" t="s">
        <v>155</v>
      </c>
      <c r="O40" s="22"/>
    </row>
    <row r="41" spans="2:15" ht="15.75" x14ac:dyDescent="0.25">
      <c r="B41" s="192" t="s">
        <v>13</v>
      </c>
      <c r="C41" s="193"/>
      <c r="D41" s="193"/>
      <c r="E41" s="193"/>
      <c r="F41" s="193"/>
      <c r="G41" s="193"/>
      <c r="H41" s="193"/>
      <c r="I41" s="194"/>
      <c r="J41" s="38">
        <f>SUM(J20:J40)</f>
        <v>5094600</v>
      </c>
      <c r="K41" s="26">
        <f>SUM(K20:K40)</f>
        <v>0</v>
      </c>
      <c r="L41" s="27">
        <f>SUM(L20:L40)</f>
        <v>2392694</v>
      </c>
      <c r="M41" s="27">
        <f>SUM(M20:M40)</f>
        <v>0</v>
      </c>
      <c r="N41" s="39"/>
      <c r="O41" s="40">
        <f>SUM(J41+K41+L41+M41)</f>
        <v>7487294</v>
      </c>
    </row>
    <row r="42" spans="2:15" ht="15.75" x14ac:dyDescent="0.25">
      <c r="B42" s="195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</row>
    <row r="43" spans="2:15" ht="15.75" x14ac:dyDescent="0.25">
      <c r="B43" s="42">
        <v>1</v>
      </c>
      <c r="C43" s="43" t="s">
        <v>21</v>
      </c>
      <c r="D43" s="44" t="s">
        <v>390</v>
      </c>
      <c r="E43" s="45" t="s">
        <v>391</v>
      </c>
      <c r="F43" s="45" t="s">
        <v>392</v>
      </c>
      <c r="G43" s="46">
        <v>46163</v>
      </c>
      <c r="H43" s="46">
        <v>46176</v>
      </c>
      <c r="I43" s="47">
        <v>215100</v>
      </c>
      <c r="J43" s="48">
        <f>I43</f>
        <v>215100</v>
      </c>
      <c r="K43" s="49"/>
      <c r="L43" s="50"/>
      <c r="M43" s="50"/>
      <c r="N43" s="22" t="s">
        <v>155</v>
      </c>
      <c r="O43" s="42"/>
    </row>
    <row r="44" spans="2:15" ht="15.75" x14ac:dyDescent="0.25">
      <c r="B44" s="42">
        <v>2</v>
      </c>
      <c r="C44" s="43"/>
      <c r="D44" s="44" t="s">
        <v>393</v>
      </c>
      <c r="E44" s="45" t="s">
        <v>394</v>
      </c>
      <c r="F44" s="45" t="s">
        <v>395</v>
      </c>
      <c r="G44" s="46">
        <v>46164</v>
      </c>
      <c r="H44" s="46">
        <v>46177</v>
      </c>
      <c r="I44" s="47">
        <v>430200</v>
      </c>
      <c r="J44" s="48">
        <f t="shared" ref="J44:J50" si="5">I44</f>
        <v>430200</v>
      </c>
      <c r="K44" s="49"/>
      <c r="L44" s="50"/>
      <c r="M44" s="50"/>
      <c r="N44" s="22" t="s">
        <v>155</v>
      </c>
      <c r="O44" s="42"/>
    </row>
    <row r="45" spans="2:15" ht="15.75" x14ac:dyDescent="0.25">
      <c r="B45" s="42">
        <v>3</v>
      </c>
      <c r="C45" s="43"/>
      <c r="D45" s="44" t="s">
        <v>396</v>
      </c>
      <c r="E45" s="45" t="s">
        <v>397</v>
      </c>
      <c r="F45" s="45" t="s">
        <v>398</v>
      </c>
      <c r="G45" s="46">
        <v>46164</v>
      </c>
      <c r="H45" s="46">
        <v>46177</v>
      </c>
      <c r="I45" s="47">
        <v>227200</v>
      </c>
      <c r="J45" s="48">
        <v>100000</v>
      </c>
      <c r="K45" s="49"/>
      <c r="L45" s="50"/>
      <c r="M45" s="50"/>
      <c r="N45" s="22" t="s">
        <v>158</v>
      </c>
      <c r="O45" s="42"/>
    </row>
    <row r="46" spans="2:15" ht="15.75" x14ac:dyDescent="0.25">
      <c r="B46" s="42">
        <v>4</v>
      </c>
      <c r="C46" s="43"/>
      <c r="D46" s="44" t="s">
        <v>399</v>
      </c>
      <c r="E46" s="45" t="s">
        <v>400</v>
      </c>
      <c r="F46" s="45" t="s">
        <v>398</v>
      </c>
      <c r="G46" s="46">
        <v>46164</v>
      </c>
      <c r="H46" s="46">
        <v>46177</v>
      </c>
      <c r="I46" s="47">
        <v>215100</v>
      </c>
      <c r="J46" s="48">
        <v>110000</v>
      </c>
      <c r="K46" s="49"/>
      <c r="L46" s="50"/>
      <c r="M46" s="50"/>
      <c r="N46" s="22" t="s">
        <v>158</v>
      </c>
      <c r="O46" s="42"/>
    </row>
    <row r="47" spans="2:15" ht="15.75" x14ac:dyDescent="0.25">
      <c r="B47" s="42">
        <v>5</v>
      </c>
      <c r="C47" s="43"/>
      <c r="D47" s="44" t="s">
        <v>401</v>
      </c>
      <c r="E47" s="45" t="s">
        <v>402</v>
      </c>
      <c r="F47" s="45" t="s">
        <v>403</v>
      </c>
      <c r="G47" s="46">
        <v>46164</v>
      </c>
      <c r="H47" s="46">
        <v>46177</v>
      </c>
      <c r="I47" s="47">
        <v>328700</v>
      </c>
      <c r="J47" s="48">
        <v>150000</v>
      </c>
      <c r="K47" s="49"/>
      <c r="L47" s="50"/>
      <c r="M47" s="50"/>
      <c r="N47" s="22" t="s">
        <v>158</v>
      </c>
      <c r="O47" s="42"/>
    </row>
    <row r="48" spans="2:15" ht="15.75" x14ac:dyDescent="0.25">
      <c r="B48" s="42">
        <v>6</v>
      </c>
      <c r="C48" s="43"/>
      <c r="D48" s="44" t="s">
        <v>404</v>
      </c>
      <c r="E48" s="45" t="s">
        <v>405</v>
      </c>
      <c r="F48" s="45" t="s">
        <v>406</v>
      </c>
      <c r="G48" s="46">
        <v>46164</v>
      </c>
      <c r="H48" s="46">
        <v>46177</v>
      </c>
      <c r="I48" s="47">
        <v>2151000</v>
      </c>
      <c r="J48" s="48">
        <f t="shared" si="5"/>
        <v>2151000</v>
      </c>
      <c r="K48" s="49"/>
      <c r="L48" s="50"/>
      <c r="M48" s="50"/>
      <c r="N48" s="22" t="s">
        <v>155</v>
      </c>
      <c r="O48" s="42"/>
    </row>
    <row r="49" spans="2:15" ht="15.75" x14ac:dyDescent="0.25">
      <c r="B49" s="42">
        <v>7</v>
      </c>
      <c r="C49" s="43"/>
      <c r="D49" s="44" t="s">
        <v>407</v>
      </c>
      <c r="E49" s="45" t="s">
        <v>408</v>
      </c>
      <c r="F49" s="45" t="s">
        <v>409</v>
      </c>
      <c r="G49" s="46">
        <v>46164</v>
      </c>
      <c r="H49" s="46">
        <v>46177</v>
      </c>
      <c r="I49" s="47">
        <v>215100</v>
      </c>
      <c r="J49" s="48">
        <f t="shared" si="5"/>
        <v>215100</v>
      </c>
      <c r="K49" s="49"/>
      <c r="L49" s="50"/>
      <c r="M49" s="50"/>
      <c r="N49" s="22" t="s">
        <v>155</v>
      </c>
      <c r="O49" s="42"/>
    </row>
    <row r="50" spans="2:15" ht="15.75" x14ac:dyDescent="0.25">
      <c r="B50" s="42">
        <v>8</v>
      </c>
      <c r="C50" s="43"/>
      <c r="D50" s="44" t="s">
        <v>410</v>
      </c>
      <c r="E50" s="45" t="s">
        <v>411</v>
      </c>
      <c r="F50" s="45" t="s">
        <v>409</v>
      </c>
      <c r="G50" s="46">
        <v>46164</v>
      </c>
      <c r="H50" s="46">
        <v>46177</v>
      </c>
      <c r="I50" s="47">
        <v>328700</v>
      </c>
      <c r="J50" s="48">
        <f t="shared" si="5"/>
        <v>328700</v>
      </c>
      <c r="K50" s="49"/>
      <c r="L50" s="50"/>
      <c r="M50" s="50"/>
      <c r="N50" s="22" t="s">
        <v>155</v>
      </c>
      <c r="O50" s="42"/>
    </row>
    <row r="51" spans="2:15" ht="15.75" x14ac:dyDescent="0.25">
      <c r="B51" s="42">
        <v>9</v>
      </c>
      <c r="C51" s="43"/>
      <c r="D51" s="44" t="s">
        <v>412</v>
      </c>
      <c r="E51" s="45" t="s">
        <v>391</v>
      </c>
      <c r="F51" s="45" t="s">
        <v>392</v>
      </c>
      <c r="G51" s="46">
        <v>46163</v>
      </c>
      <c r="H51" s="46">
        <v>46176</v>
      </c>
      <c r="I51" s="47">
        <v>208278</v>
      </c>
      <c r="J51" s="48"/>
      <c r="K51" s="49"/>
      <c r="L51" s="51">
        <f>I51</f>
        <v>208278</v>
      </c>
      <c r="M51" s="50"/>
      <c r="N51" s="22" t="s">
        <v>155</v>
      </c>
      <c r="O51" s="42"/>
    </row>
    <row r="52" spans="2:15" ht="15.75" x14ac:dyDescent="0.25">
      <c r="B52" s="42">
        <v>10</v>
      </c>
      <c r="C52" s="43"/>
      <c r="D52" s="44" t="s">
        <v>413</v>
      </c>
      <c r="E52" s="45" t="s">
        <v>394</v>
      </c>
      <c r="F52" s="45" t="s">
        <v>395</v>
      </c>
      <c r="G52" s="46">
        <v>46164</v>
      </c>
      <c r="H52" s="46">
        <v>46177</v>
      </c>
      <c r="I52" s="47">
        <v>34278</v>
      </c>
      <c r="J52" s="48"/>
      <c r="K52" s="49"/>
      <c r="L52" s="51">
        <f t="shared" ref="L52:L55" si="6">I52</f>
        <v>34278</v>
      </c>
      <c r="M52" s="50"/>
      <c r="N52" s="22" t="s">
        <v>155</v>
      </c>
      <c r="O52" s="42"/>
    </row>
    <row r="53" spans="2:15" ht="15.75" x14ac:dyDescent="0.25">
      <c r="B53" s="42">
        <v>11</v>
      </c>
      <c r="C53" s="43"/>
      <c r="D53" s="44" t="s">
        <v>414</v>
      </c>
      <c r="E53" s="45" t="s">
        <v>405</v>
      </c>
      <c r="F53" s="45" t="s">
        <v>406</v>
      </c>
      <c r="G53" s="46">
        <v>46164</v>
      </c>
      <c r="H53" s="46">
        <v>46177</v>
      </c>
      <c r="I53" s="47">
        <v>907295</v>
      </c>
      <c r="J53" s="48"/>
      <c r="K53" s="49"/>
      <c r="L53" s="51">
        <f t="shared" si="6"/>
        <v>907295</v>
      </c>
      <c r="M53" s="50"/>
      <c r="N53" s="22" t="s">
        <v>155</v>
      </c>
      <c r="O53" s="42"/>
    </row>
    <row r="54" spans="2:15" ht="15.75" x14ac:dyDescent="0.25">
      <c r="B54" s="42">
        <v>12</v>
      </c>
      <c r="C54" s="43"/>
      <c r="D54" s="44" t="s">
        <v>415</v>
      </c>
      <c r="E54" s="45" t="s">
        <v>408</v>
      </c>
      <c r="F54" s="45" t="s">
        <v>409</v>
      </c>
      <c r="G54" s="46">
        <v>46164</v>
      </c>
      <c r="H54" s="46">
        <v>46177</v>
      </c>
      <c r="I54" s="47">
        <v>247248</v>
      </c>
      <c r="J54" s="48"/>
      <c r="K54" s="49"/>
      <c r="L54" s="51">
        <f t="shared" si="6"/>
        <v>247248</v>
      </c>
      <c r="M54" s="50"/>
      <c r="N54" s="22" t="s">
        <v>155</v>
      </c>
      <c r="O54" s="42"/>
    </row>
    <row r="55" spans="2:15" ht="15.75" x14ac:dyDescent="0.25">
      <c r="B55" s="42">
        <v>13</v>
      </c>
      <c r="C55" s="43"/>
      <c r="D55" s="44" t="s">
        <v>416</v>
      </c>
      <c r="E55" s="45" t="s">
        <v>411</v>
      </c>
      <c r="F55" s="45" t="s">
        <v>409</v>
      </c>
      <c r="G55" s="46">
        <v>46164</v>
      </c>
      <c r="H55" s="46">
        <v>46177</v>
      </c>
      <c r="I55" s="47">
        <v>112998</v>
      </c>
      <c r="J55" s="48"/>
      <c r="K55" s="49"/>
      <c r="L55" s="51">
        <f t="shared" si="6"/>
        <v>112998</v>
      </c>
      <c r="M55" s="50"/>
      <c r="N55" s="22" t="s">
        <v>155</v>
      </c>
      <c r="O55" s="42"/>
    </row>
    <row r="56" spans="2:15" ht="15.75" x14ac:dyDescent="0.25">
      <c r="B56" s="197" t="s">
        <v>13</v>
      </c>
      <c r="C56" s="198"/>
      <c r="D56" s="198"/>
      <c r="E56" s="198"/>
      <c r="F56" s="198"/>
      <c r="G56" s="198"/>
      <c r="H56" s="198"/>
      <c r="I56" s="199"/>
      <c r="J56" s="52">
        <f>SUM(J43:J55)</f>
        <v>3700100</v>
      </c>
      <c r="K56" s="53">
        <f>SUM(K43:K55)</f>
        <v>0</v>
      </c>
      <c r="L56" s="54">
        <f>SUM(L43:L55)</f>
        <v>1510097</v>
      </c>
      <c r="M56" s="54">
        <f>SUM(M43:M55)</f>
        <v>0</v>
      </c>
      <c r="N56" s="55"/>
      <c r="O56" s="56">
        <f>SUM(J56+K56+L56+M56)</f>
        <v>5210197</v>
      </c>
    </row>
    <row r="57" spans="2:15" x14ac:dyDescent="0.25">
      <c r="D57" s="57"/>
      <c r="I57" s="58"/>
      <c r="J57" s="58"/>
    </row>
    <row r="58" spans="2:15" x14ac:dyDescent="0.25">
      <c r="D58" s="57"/>
      <c r="I58" s="58"/>
      <c r="J58" s="58"/>
    </row>
    <row r="59" spans="2:15" ht="15.75" x14ac:dyDescent="0.25">
      <c r="D59" s="57"/>
      <c r="G59" s="200" t="s">
        <v>22</v>
      </c>
      <c r="H59" s="200"/>
      <c r="I59" s="200"/>
      <c r="J59" s="59">
        <f>SUM(J56+J41+J18)</f>
        <v>12119800</v>
      </c>
      <c r="K59" s="26">
        <f>SUM(K56+K41+K18)</f>
        <v>0</v>
      </c>
      <c r="L59" s="60">
        <f>SUM(L56+L41+L18)</f>
        <v>7851701</v>
      </c>
      <c r="M59" s="60">
        <f>SUM(M56+M41+M18)</f>
        <v>0</v>
      </c>
      <c r="N59" s="39"/>
      <c r="O59" s="30">
        <f>SUM(J59+K59+L59+M59)</f>
        <v>19971501</v>
      </c>
    </row>
    <row r="60" spans="2:15" x14ac:dyDescent="0.25">
      <c r="D60" s="57"/>
      <c r="I60" s="58"/>
      <c r="J60" s="58"/>
    </row>
    <row r="61" spans="2:15" x14ac:dyDescent="0.25">
      <c r="B61" s="201" t="s">
        <v>17</v>
      </c>
      <c r="C61" s="201"/>
      <c r="D61" s="201"/>
      <c r="I61" s="58"/>
      <c r="J61" s="58"/>
    </row>
    <row r="62" spans="2:15" ht="15.75" x14ac:dyDescent="0.25">
      <c r="B62" s="188" t="s">
        <v>4</v>
      </c>
      <c r="C62" s="202" t="s">
        <v>23</v>
      </c>
      <c r="D62" s="188" t="s">
        <v>6</v>
      </c>
      <c r="E62" s="188" t="s">
        <v>7</v>
      </c>
      <c r="F62" s="188" t="s">
        <v>8</v>
      </c>
      <c r="G62" s="188" t="s">
        <v>9</v>
      </c>
      <c r="H62" s="188" t="s">
        <v>10</v>
      </c>
      <c r="I62" s="202" t="s">
        <v>24</v>
      </c>
      <c r="J62" s="169" t="s">
        <v>12</v>
      </c>
      <c r="K62" s="170"/>
      <c r="L62" s="170"/>
      <c r="M62" s="170"/>
      <c r="N62" s="171"/>
      <c r="O62" s="204" t="s">
        <v>13</v>
      </c>
    </row>
    <row r="63" spans="2:15" ht="15.75" x14ac:dyDescent="0.25">
      <c r="B63" s="189"/>
      <c r="C63" s="203"/>
      <c r="D63" s="189"/>
      <c r="E63" s="189"/>
      <c r="F63" s="189"/>
      <c r="G63" s="189"/>
      <c r="H63" s="189"/>
      <c r="I63" s="203"/>
      <c r="J63" s="164" t="s">
        <v>14</v>
      </c>
      <c r="K63" s="165"/>
      <c r="L63" s="166" t="s">
        <v>15</v>
      </c>
      <c r="M63" s="167"/>
      <c r="N63" s="4" t="s">
        <v>16</v>
      </c>
      <c r="O63" s="205"/>
    </row>
    <row r="64" spans="2:15" ht="15.75" x14ac:dyDescent="0.25">
      <c r="B64" s="5"/>
      <c r="C64" s="61"/>
      <c r="D64" s="5"/>
      <c r="E64" s="5"/>
      <c r="F64" s="5"/>
      <c r="G64" s="5"/>
      <c r="H64" s="5"/>
      <c r="I64" s="61"/>
      <c r="J64" s="62" t="s">
        <v>17</v>
      </c>
      <c r="K64" s="6" t="s">
        <v>18</v>
      </c>
      <c r="L64" s="10" t="s">
        <v>17</v>
      </c>
      <c r="M64" s="10" t="s">
        <v>18</v>
      </c>
      <c r="N64" s="4"/>
      <c r="O64" s="7"/>
    </row>
    <row r="65" spans="1:15" ht="15" customHeight="1" x14ac:dyDescent="0.25">
      <c r="B65" s="63">
        <v>1</v>
      </c>
      <c r="C65" s="43" t="s">
        <v>154</v>
      </c>
      <c r="D65" s="64" t="s">
        <v>417</v>
      </c>
      <c r="E65" s="65" t="s">
        <v>151</v>
      </c>
      <c r="F65" s="65" t="s">
        <v>298</v>
      </c>
      <c r="G65" s="66">
        <v>46177</v>
      </c>
      <c r="H65" s="66"/>
      <c r="I65" s="67">
        <v>430200</v>
      </c>
      <c r="J65" s="37">
        <f>I65</f>
        <v>430200</v>
      </c>
      <c r="K65" s="68"/>
      <c r="L65" s="69"/>
      <c r="M65" s="69"/>
      <c r="N65" s="22" t="s">
        <v>155</v>
      </c>
      <c r="O65" s="70"/>
    </row>
    <row r="66" spans="1:15" ht="15" customHeight="1" x14ac:dyDescent="0.25">
      <c r="B66" s="63">
        <v>2</v>
      </c>
      <c r="C66" s="43" t="s">
        <v>154</v>
      </c>
      <c r="D66" s="71" t="s">
        <v>418</v>
      </c>
      <c r="E66" s="71" t="s">
        <v>419</v>
      </c>
      <c r="F66" s="70" t="s">
        <v>420</v>
      </c>
      <c r="G66" s="66">
        <v>46177</v>
      </c>
      <c r="H66" s="72"/>
      <c r="I66" s="22">
        <v>416000</v>
      </c>
      <c r="J66" s="37">
        <f>I66</f>
        <v>416000</v>
      </c>
      <c r="K66" s="68"/>
      <c r="L66" s="24"/>
      <c r="M66" s="69"/>
      <c r="N66" s="22" t="s">
        <v>155</v>
      </c>
      <c r="O66" s="70"/>
    </row>
    <row r="67" spans="1:15" ht="15" customHeight="1" x14ac:dyDescent="0.25">
      <c r="B67" s="63">
        <v>3</v>
      </c>
      <c r="C67" s="43" t="s">
        <v>154</v>
      </c>
      <c r="D67" s="71" t="s">
        <v>421</v>
      </c>
      <c r="E67" s="71" t="s">
        <v>422</v>
      </c>
      <c r="F67" s="70" t="s">
        <v>423</v>
      </c>
      <c r="G67" s="66">
        <v>46177</v>
      </c>
      <c r="H67" s="72"/>
      <c r="I67" s="22">
        <v>870000</v>
      </c>
      <c r="J67" s="37"/>
      <c r="K67" s="68"/>
      <c r="L67" s="24">
        <f>I67</f>
        <v>870000</v>
      </c>
      <c r="M67" s="69"/>
      <c r="N67" s="22" t="s">
        <v>155</v>
      </c>
      <c r="O67" s="70"/>
    </row>
    <row r="68" spans="1:15" ht="15" customHeight="1" x14ac:dyDescent="0.25">
      <c r="B68" s="63">
        <v>4</v>
      </c>
      <c r="C68" s="43" t="s">
        <v>243</v>
      </c>
      <c r="D68" s="71" t="s">
        <v>424</v>
      </c>
      <c r="E68" s="71" t="s">
        <v>425</v>
      </c>
      <c r="F68" s="70" t="s">
        <v>271</v>
      </c>
      <c r="G68" s="66">
        <v>46177</v>
      </c>
      <c r="H68" s="72"/>
      <c r="I68" s="22">
        <v>328700</v>
      </c>
      <c r="J68" s="37">
        <f>I68</f>
        <v>328700</v>
      </c>
      <c r="K68" s="68"/>
      <c r="L68" s="24"/>
      <c r="M68" s="69"/>
      <c r="N68" s="22" t="s">
        <v>155</v>
      </c>
      <c r="O68" s="70"/>
    </row>
    <row r="69" spans="1:15" ht="15" customHeight="1" x14ac:dyDescent="0.25">
      <c r="B69" s="63">
        <v>5</v>
      </c>
      <c r="C69" s="43" t="s">
        <v>243</v>
      </c>
      <c r="D69" s="71" t="s">
        <v>433</v>
      </c>
      <c r="E69" s="71" t="s">
        <v>425</v>
      </c>
      <c r="F69" s="70" t="s">
        <v>271</v>
      </c>
      <c r="G69" s="66">
        <v>46177</v>
      </c>
      <c r="H69" s="72"/>
      <c r="I69" s="22">
        <v>69498</v>
      </c>
      <c r="J69" s="37"/>
      <c r="K69" s="68"/>
      <c r="L69" s="24">
        <f>I69</f>
        <v>69498</v>
      </c>
      <c r="M69" s="69"/>
      <c r="N69" s="22" t="s">
        <v>155</v>
      </c>
      <c r="O69" s="70"/>
    </row>
    <row r="70" spans="1:15" ht="15" customHeight="1" x14ac:dyDescent="0.25">
      <c r="B70" s="63">
        <v>6</v>
      </c>
      <c r="C70" s="43" t="s">
        <v>243</v>
      </c>
      <c r="D70" s="71" t="s">
        <v>435</v>
      </c>
      <c r="E70" s="71" t="s">
        <v>436</v>
      </c>
      <c r="F70" s="70" t="s">
        <v>187</v>
      </c>
      <c r="G70" s="66">
        <v>46176</v>
      </c>
      <c r="H70" s="72"/>
      <c r="I70" s="22">
        <v>2777500</v>
      </c>
      <c r="J70" s="37"/>
      <c r="K70" s="68">
        <v>2777500</v>
      </c>
      <c r="L70" s="69"/>
      <c r="M70" s="69"/>
      <c r="N70" s="22" t="s">
        <v>437</v>
      </c>
      <c r="O70" s="70"/>
    </row>
    <row r="71" spans="1:15" ht="15.75" x14ac:dyDescent="0.25">
      <c r="B71" s="169" t="s">
        <v>25</v>
      </c>
      <c r="C71" s="170"/>
      <c r="D71" s="170"/>
      <c r="E71" s="170"/>
      <c r="F71" s="170"/>
      <c r="G71" s="170"/>
      <c r="H71" s="170"/>
      <c r="I71" s="171"/>
      <c r="J71" s="25">
        <f>SUM(J65:J70)</f>
        <v>1174900</v>
      </c>
      <c r="K71" s="74">
        <f>SUM(K65:K70)</f>
        <v>2777500</v>
      </c>
      <c r="L71" s="60">
        <f>SUM(L65:L70)</f>
        <v>939498</v>
      </c>
      <c r="M71" s="60">
        <f>SUM(M65:M70)</f>
        <v>0</v>
      </c>
      <c r="N71" s="39"/>
      <c r="O71" s="75">
        <f>SUM(J71+K71+L71+M71)</f>
        <v>4891898</v>
      </c>
    </row>
    <row r="72" spans="1:15" ht="15.75" x14ac:dyDescent="0.25">
      <c r="B72" s="172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</row>
    <row r="73" spans="1:15" x14ac:dyDescent="0.25">
      <c r="B73" s="44">
        <v>1</v>
      </c>
      <c r="C73" s="12" t="s">
        <v>330</v>
      </c>
      <c r="D73" s="71" t="s">
        <v>434</v>
      </c>
      <c r="E73" s="71" t="s">
        <v>254</v>
      </c>
      <c r="F73" s="70" t="s">
        <v>250</v>
      </c>
      <c r="G73" s="66">
        <v>46177</v>
      </c>
      <c r="H73" s="72"/>
      <c r="I73" s="22">
        <v>216000</v>
      </c>
      <c r="J73" s="73"/>
      <c r="K73" s="68"/>
      <c r="L73" s="24">
        <f>I73</f>
        <v>216000</v>
      </c>
      <c r="M73" s="69"/>
      <c r="N73" s="22" t="s">
        <v>155</v>
      </c>
      <c r="O73" s="70"/>
    </row>
    <row r="74" spans="1:15" x14ac:dyDescent="0.25">
      <c r="B74" s="44">
        <v>2</v>
      </c>
      <c r="C74" s="12" t="s">
        <v>440</v>
      </c>
      <c r="D74" s="71" t="s">
        <v>426</v>
      </c>
      <c r="E74" s="71" t="s">
        <v>427</v>
      </c>
      <c r="F74" s="70" t="s">
        <v>280</v>
      </c>
      <c r="G74" s="66">
        <v>46177</v>
      </c>
      <c r="H74" s="72"/>
      <c r="I74" s="22">
        <v>2174000</v>
      </c>
      <c r="J74" s="37"/>
      <c r="K74" s="68">
        <v>2174000</v>
      </c>
      <c r="L74" s="24"/>
      <c r="M74" s="24"/>
      <c r="N74" s="22" t="s">
        <v>441</v>
      </c>
      <c r="O74" s="70"/>
    </row>
    <row r="75" spans="1:15" x14ac:dyDescent="0.25">
      <c r="B75" s="44">
        <v>3</v>
      </c>
      <c r="C75" s="12" t="s">
        <v>440</v>
      </c>
      <c r="D75" s="71" t="s">
        <v>428</v>
      </c>
      <c r="E75" s="71" t="s">
        <v>429</v>
      </c>
      <c r="F75" s="70" t="s">
        <v>377</v>
      </c>
      <c r="G75" s="66">
        <v>46177</v>
      </c>
      <c r="H75" s="72"/>
      <c r="I75" s="22">
        <v>1063000</v>
      </c>
      <c r="J75" s="37">
        <f t="shared" ref="J75:J76" si="7">I75</f>
        <v>1063000</v>
      </c>
      <c r="K75" s="68"/>
      <c r="L75" s="69"/>
      <c r="M75" s="69"/>
      <c r="N75" s="22" t="s">
        <v>155</v>
      </c>
      <c r="O75" s="70"/>
    </row>
    <row r="76" spans="1:15" x14ac:dyDescent="0.25">
      <c r="B76" s="44">
        <v>4</v>
      </c>
      <c r="C76" s="12" t="s">
        <v>440</v>
      </c>
      <c r="D76" s="71" t="s">
        <v>430</v>
      </c>
      <c r="E76" s="71" t="s">
        <v>431</v>
      </c>
      <c r="F76" s="70" t="s">
        <v>432</v>
      </c>
      <c r="G76" s="66">
        <v>46177</v>
      </c>
      <c r="H76" s="72"/>
      <c r="I76" s="22">
        <v>328700</v>
      </c>
      <c r="J76" s="37">
        <f t="shared" si="7"/>
        <v>328700</v>
      </c>
      <c r="K76" s="68"/>
      <c r="L76" s="24"/>
      <c r="M76" s="69"/>
      <c r="N76" s="22" t="s">
        <v>155</v>
      </c>
      <c r="O76" s="70"/>
    </row>
    <row r="77" spans="1:15" x14ac:dyDescent="0.25">
      <c r="B77" s="44">
        <v>5</v>
      </c>
      <c r="C77" s="12" t="s">
        <v>440</v>
      </c>
      <c r="D77" s="71" t="s">
        <v>438</v>
      </c>
      <c r="E77" s="71" t="s">
        <v>439</v>
      </c>
      <c r="F77" s="70" t="s">
        <v>250</v>
      </c>
      <c r="G77" s="66">
        <v>46177</v>
      </c>
      <c r="H77" s="72"/>
      <c r="I77" s="22">
        <v>138996</v>
      </c>
      <c r="J77" s="73"/>
      <c r="K77" s="68"/>
      <c r="L77" s="24">
        <f>I77</f>
        <v>138996</v>
      </c>
      <c r="M77" s="69"/>
      <c r="N77" s="22" t="s">
        <v>155</v>
      </c>
      <c r="O77" s="70"/>
    </row>
    <row r="78" spans="1:15" ht="15.75" x14ac:dyDescent="0.25">
      <c r="A78" t="s">
        <v>3</v>
      </c>
      <c r="B78" s="169" t="s">
        <v>25</v>
      </c>
      <c r="C78" s="170"/>
      <c r="D78" s="170"/>
      <c r="E78" s="170"/>
      <c r="F78" s="170"/>
      <c r="G78" s="170"/>
      <c r="H78" s="170"/>
      <c r="I78" s="171"/>
      <c r="J78" s="76">
        <f>SUM(J73:J77)</f>
        <v>1391700</v>
      </c>
      <c r="K78" s="74">
        <f>SUM(K73:K77)</f>
        <v>2174000</v>
      </c>
      <c r="L78" s="60">
        <f>SUM(L73:L77)</f>
        <v>354996</v>
      </c>
      <c r="M78" s="60">
        <f>SUM(M73:M77)</f>
        <v>0</v>
      </c>
      <c r="N78" s="39"/>
      <c r="O78" s="75">
        <f>SUM(J78+K78+L78+M78)</f>
        <v>3920696</v>
      </c>
    </row>
    <row r="79" spans="1:15" x14ac:dyDescent="0.25">
      <c r="D79" s="57"/>
      <c r="I79" s="58"/>
      <c r="J79" s="58"/>
    </row>
    <row r="80" spans="1:15" ht="15.75" x14ac:dyDescent="0.25">
      <c r="D80" s="57"/>
      <c r="G80" s="162" t="s">
        <v>1646</v>
      </c>
      <c r="H80" s="162"/>
      <c r="I80" s="163"/>
      <c r="J80" s="25">
        <f>SUM(J78+J71)</f>
        <v>2566600</v>
      </c>
      <c r="K80" s="74">
        <f>SUM(K78+K71)</f>
        <v>4951500</v>
      </c>
      <c r="L80" s="60">
        <f>SUM(L78+L71)</f>
        <v>1294494</v>
      </c>
      <c r="M80" s="60">
        <f>SUM(M78+M71)</f>
        <v>0</v>
      </c>
      <c r="N80" s="39"/>
      <c r="O80" s="77">
        <f>SUM(J80+K80+L80+M80)</f>
        <v>8812594</v>
      </c>
    </row>
    <row r="81" spans="4:15" ht="15.75" x14ac:dyDescent="0.25">
      <c r="D81" s="57"/>
      <c r="H81" s="41"/>
      <c r="I81" s="41"/>
      <c r="J81" s="41"/>
      <c r="K81" s="78"/>
      <c r="L81" s="78"/>
      <c r="M81" s="78"/>
      <c r="N81" s="79"/>
      <c r="O81" s="80"/>
    </row>
    <row r="82" spans="4:15" ht="15.75" x14ac:dyDescent="0.25">
      <c r="D82" s="57"/>
      <c r="H82" s="174" t="s">
        <v>27</v>
      </c>
      <c r="I82" s="175"/>
      <c r="J82" s="180" t="s">
        <v>14</v>
      </c>
      <c r="K82" s="180"/>
      <c r="L82" s="181" t="s">
        <v>15</v>
      </c>
      <c r="M82" s="181"/>
      <c r="N82" s="70"/>
      <c r="O82" s="182"/>
    </row>
    <row r="83" spans="4:15" ht="15.75" x14ac:dyDescent="0.25">
      <c r="D83" s="57"/>
      <c r="H83" s="176"/>
      <c r="I83" s="177"/>
      <c r="J83" s="6" t="s">
        <v>17</v>
      </c>
      <c r="K83" s="81" t="s">
        <v>18</v>
      </c>
      <c r="L83" s="82" t="s">
        <v>17</v>
      </c>
      <c r="M83" s="82" t="s">
        <v>18</v>
      </c>
      <c r="N83" s="70"/>
      <c r="O83" s="182"/>
    </row>
    <row r="84" spans="4:15" ht="15.75" x14ac:dyDescent="0.25">
      <c r="D84" s="57"/>
      <c r="H84" s="178"/>
      <c r="I84" s="179"/>
      <c r="J84" s="74">
        <f>SUM(J59,J80)</f>
        <v>14686400</v>
      </c>
      <c r="K84" s="74">
        <f>SUM(K80+K59)</f>
        <v>4951500</v>
      </c>
      <c r="L84" s="60">
        <f>SUM(L80+L59)</f>
        <v>9146195</v>
      </c>
      <c r="M84" s="60">
        <f>SUM(M80+M59)</f>
        <v>0</v>
      </c>
      <c r="N84" s="39"/>
      <c r="O84" s="182"/>
    </row>
    <row r="85" spans="4:15" x14ac:dyDescent="0.25">
      <c r="D85" s="57"/>
      <c r="I85" s="58"/>
      <c r="J85" s="58"/>
    </row>
    <row r="86" spans="4:15" ht="18.75" x14ac:dyDescent="0.3">
      <c r="D86" s="57"/>
      <c r="H86" s="183"/>
      <c r="I86" s="183"/>
      <c r="J86" s="83"/>
      <c r="L86" s="184" t="s">
        <v>28</v>
      </c>
      <c r="M86" s="185"/>
      <c r="N86" s="84">
        <f>SUM(J84+L84)</f>
        <v>23832595</v>
      </c>
      <c r="O86" s="186">
        <f>SUM(N86+N87)</f>
        <v>28784095</v>
      </c>
    </row>
    <row r="87" spans="4:15" ht="18.75" x14ac:dyDescent="0.3">
      <c r="D87" s="57"/>
      <c r="H87" s="183"/>
      <c r="I87" s="183"/>
      <c r="J87" s="83"/>
      <c r="L87" s="184" t="s">
        <v>29</v>
      </c>
      <c r="M87" s="185"/>
      <c r="N87" s="84">
        <f>SUM(K84+M84)</f>
        <v>4951500</v>
      </c>
      <c r="O87" s="187"/>
    </row>
    <row r="88" spans="4:15" ht="18.75" x14ac:dyDescent="0.3">
      <c r="D88" s="57"/>
      <c r="H88" s="168"/>
      <c r="I88" s="168"/>
      <c r="J88" s="85"/>
      <c r="K88" s="86"/>
    </row>
    <row r="89" spans="4:15" x14ac:dyDescent="0.25">
      <c r="D89" s="2" t="s">
        <v>30</v>
      </c>
      <c r="E89" s="1"/>
      <c r="F89" s="1"/>
      <c r="G89" s="1"/>
      <c r="H89" s="1"/>
      <c r="I89" s="1"/>
      <c r="J89" s="1"/>
      <c r="K89" s="1"/>
    </row>
    <row r="90" spans="4:15" x14ac:dyDescent="0.25">
      <c r="D90" s="2"/>
      <c r="E90" s="1"/>
      <c r="F90" s="1"/>
      <c r="G90" s="1"/>
      <c r="H90" s="1"/>
      <c r="I90" s="1"/>
      <c r="J90" s="1"/>
      <c r="K90" s="1"/>
    </row>
    <row r="91" spans="4:15" x14ac:dyDescent="0.25">
      <c r="D91" s="3" t="s">
        <v>31</v>
      </c>
      <c r="E91" s="3"/>
      <c r="F91" s="3" t="s">
        <v>32</v>
      </c>
      <c r="G91" s="3"/>
      <c r="H91" s="3" t="s">
        <v>33</v>
      </c>
      <c r="I91" s="3"/>
      <c r="J91" s="3" t="s">
        <v>34</v>
      </c>
      <c r="K91" s="3"/>
    </row>
    <row r="92" spans="4:15" x14ac:dyDescent="0.25">
      <c r="D92" s="3"/>
      <c r="E92" s="3"/>
      <c r="F92" s="3"/>
      <c r="G92" s="3"/>
      <c r="H92" s="3"/>
      <c r="I92" s="3"/>
      <c r="J92" s="3"/>
      <c r="K92" s="3"/>
    </row>
    <row r="93" spans="4:15" x14ac:dyDescent="0.25">
      <c r="D93" s="3"/>
      <c r="E93" s="3"/>
      <c r="F93" s="3"/>
      <c r="G93" s="3"/>
      <c r="H93" s="3"/>
      <c r="I93" s="3"/>
      <c r="J93" s="3"/>
      <c r="K93" s="3"/>
    </row>
    <row r="94" spans="4:15" x14ac:dyDescent="0.25">
      <c r="D94" s="3"/>
      <c r="E94" s="3"/>
      <c r="F94" s="3"/>
      <c r="G94" s="3"/>
      <c r="H94" s="3"/>
      <c r="I94" s="3"/>
      <c r="J94" s="3"/>
      <c r="K94" s="3"/>
    </row>
    <row r="95" spans="4:15" x14ac:dyDescent="0.25">
      <c r="D95" s="3" t="s">
        <v>35</v>
      </c>
      <c r="E95" s="3"/>
      <c r="F95" s="3" t="s">
        <v>36</v>
      </c>
      <c r="G95" s="3"/>
      <c r="H95" s="3" t="s">
        <v>36</v>
      </c>
      <c r="I95" s="3"/>
      <c r="J95" s="3" t="s">
        <v>37</v>
      </c>
      <c r="K95" s="3"/>
    </row>
    <row r="96" spans="4:15" x14ac:dyDescent="0.25">
      <c r="D96" s="57"/>
    </row>
    <row r="97" spans="4:4" x14ac:dyDescent="0.25">
      <c r="D97" s="57"/>
    </row>
    <row r="98" spans="4:4" x14ac:dyDescent="0.25">
      <c r="D98" s="57"/>
    </row>
    <row r="99" spans="4:4" x14ac:dyDescent="0.25">
      <c r="D99" s="57"/>
    </row>
    <row r="100" spans="4:4" x14ac:dyDescent="0.25">
      <c r="D100" s="57"/>
    </row>
  </sheetData>
  <mergeCells count="48">
    <mergeCell ref="B18:I18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62:G63"/>
    <mergeCell ref="B19:O19"/>
    <mergeCell ref="B41:I41"/>
    <mergeCell ref="B42:O42"/>
    <mergeCell ref="B56:I56"/>
    <mergeCell ref="G59:I59"/>
    <mergeCell ref="B61:D61"/>
    <mergeCell ref="B62:B63"/>
    <mergeCell ref="C62:C63"/>
    <mergeCell ref="D62:D63"/>
    <mergeCell ref="E62:E63"/>
    <mergeCell ref="F62:F63"/>
    <mergeCell ref="H62:H63"/>
    <mergeCell ref="I62:I63"/>
    <mergeCell ref="J62:N62"/>
    <mergeCell ref="O62:O63"/>
    <mergeCell ref="G80:I80"/>
    <mergeCell ref="J63:K63"/>
    <mergeCell ref="L63:M63"/>
    <mergeCell ref="H88:I88"/>
    <mergeCell ref="B71:I71"/>
    <mergeCell ref="B72:O72"/>
    <mergeCell ref="B78:I78"/>
    <mergeCell ref="H82:I84"/>
    <mergeCell ref="J82:K82"/>
    <mergeCell ref="L82:M82"/>
    <mergeCell ref="O82:O84"/>
    <mergeCell ref="H86:I86"/>
    <mergeCell ref="L86:M86"/>
    <mergeCell ref="O86:O87"/>
    <mergeCell ref="H87:I87"/>
    <mergeCell ref="L87:M87"/>
  </mergeCells>
  <pageMargins left="0" right="0" top="0" bottom="0" header="0" footer="0"/>
  <pageSetup paperSize="9" scale="65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89C4-0C35-4C6C-B8F3-B6EABB290EDD}">
  <dimension ref="A2:Q97"/>
  <sheetViews>
    <sheetView topLeftCell="A61" workbookViewId="0">
      <selection activeCell="G77" sqref="G77:I77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447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2</v>
      </c>
      <c r="C9" s="12" t="s">
        <v>19</v>
      </c>
      <c r="D9" s="13" t="s">
        <v>448</v>
      </c>
      <c r="E9" s="14" t="s">
        <v>332</v>
      </c>
      <c r="F9" s="15" t="s">
        <v>333</v>
      </c>
      <c r="G9" s="16">
        <v>46164</v>
      </c>
      <c r="H9" s="16">
        <v>46177</v>
      </c>
      <c r="I9" s="23">
        <v>1870700</v>
      </c>
      <c r="J9" s="18">
        <f t="shared" ref="J9:J13" si="0">I9</f>
        <v>1870700</v>
      </c>
      <c r="K9" s="19"/>
      <c r="L9" s="24"/>
      <c r="M9" s="24"/>
      <c r="N9" s="22" t="s">
        <v>155</v>
      </c>
      <c r="O9" s="22"/>
    </row>
    <row r="10" spans="2:17" x14ac:dyDescent="0.25">
      <c r="B10" s="11">
        <v>3</v>
      </c>
      <c r="C10" s="12"/>
      <c r="D10" s="13" t="s">
        <v>449</v>
      </c>
      <c r="E10" s="14" t="s">
        <v>450</v>
      </c>
      <c r="F10" s="15" t="s">
        <v>135</v>
      </c>
      <c r="G10" s="16">
        <v>46165</v>
      </c>
      <c r="H10" s="16">
        <v>46178</v>
      </c>
      <c r="I10" s="23">
        <v>2211500</v>
      </c>
      <c r="J10" s="18">
        <f t="shared" si="0"/>
        <v>2211500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4</v>
      </c>
      <c r="C11" s="12"/>
      <c r="D11" s="13" t="s">
        <v>451</v>
      </c>
      <c r="E11" s="14" t="s">
        <v>452</v>
      </c>
      <c r="F11" s="15" t="s">
        <v>453</v>
      </c>
      <c r="G11" s="16">
        <v>46165</v>
      </c>
      <c r="H11" s="16">
        <v>46178</v>
      </c>
      <c r="I11" s="23">
        <v>442300</v>
      </c>
      <c r="J11" s="18">
        <f t="shared" si="0"/>
        <v>442300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5</v>
      </c>
      <c r="C12" s="12"/>
      <c r="D12" s="13" t="s">
        <v>454</v>
      </c>
      <c r="E12" s="14" t="s">
        <v>455</v>
      </c>
      <c r="F12" s="15" t="s">
        <v>456</v>
      </c>
      <c r="G12" s="16">
        <v>46165</v>
      </c>
      <c r="H12" s="16">
        <v>46178</v>
      </c>
      <c r="I12" s="23">
        <v>430200</v>
      </c>
      <c r="J12" s="18">
        <f t="shared" si="0"/>
        <v>430200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6</v>
      </c>
      <c r="C13" s="12"/>
      <c r="D13" s="13" t="s">
        <v>457</v>
      </c>
      <c r="E13" s="14" t="s">
        <v>458</v>
      </c>
      <c r="F13" s="15" t="s">
        <v>459</v>
      </c>
      <c r="G13" s="16">
        <v>46165</v>
      </c>
      <c r="H13" s="16">
        <v>46178</v>
      </c>
      <c r="I13" s="23">
        <v>227200</v>
      </c>
      <c r="J13" s="18">
        <f t="shared" si="0"/>
        <v>227200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8</v>
      </c>
      <c r="C14" s="12"/>
      <c r="D14" s="13" t="s">
        <v>543</v>
      </c>
      <c r="E14" s="14" t="s">
        <v>544</v>
      </c>
      <c r="F14" s="15" t="s">
        <v>545</v>
      </c>
      <c r="G14" s="16">
        <v>46165</v>
      </c>
      <c r="H14" s="16">
        <v>46178</v>
      </c>
      <c r="I14" s="23">
        <v>2151000</v>
      </c>
      <c r="J14" s="18">
        <v>2151000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10</v>
      </c>
      <c r="C15" s="12"/>
      <c r="D15" s="13" t="s">
        <v>460</v>
      </c>
      <c r="E15" s="14" t="s">
        <v>461</v>
      </c>
      <c r="F15" s="15" t="s">
        <v>462</v>
      </c>
      <c r="G15" s="16">
        <v>46164</v>
      </c>
      <c r="H15" s="16">
        <v>46177</v>
      </c>
      <c r="I15" s="23">
        <v>627698</v>
      </c>
      <c r="J15" s="18"/>
      <c r="K15" s="19"/>
      <c r="L15" s="24">
        <f t="shared" ref="L15" si="1">I15</f>
        <v>627698</v>
      </c>
      <c r="M15" s="24"/>
      <c r="N15" s="22" t="s">
        <v>155</v>
      </c>
      <c r="O15" s="22"/>
    </row>
    <row r="16" spans="2:17" x14ac:dyDescent="0.25">
      <c r="B16" s="11">
        <v>11</v>
      </c>
      <c r="C16" s="12"/>
      <c r="D16" s="13" t="s">
        <v>463</v>
      </c>
      <c r="E16" s="14" t="s">
        <v>464</v>
      </c>
      <c r="F16" s="15" t="s">
        <v>453</v>
      </c>
      <c r="G16" s="16">
        <v>46165</v>
      </c>
      <c r="H16" s="16">
        <v>46178</v>
      </c>
      <c r="I16" s="23">
        <v>68556</v>
      </c>
      <c r="J16" s="18"/>
      <c r="K16" s="19"/>
      <c r="L16" s="24">
        <f t="shared" ref="L16" si="2">I16</f>
        <v>68556</v>
      </c>
      <c r="M16" s="24"/>
      <c r="N16" s="22" t="s">
        <v>155</v>
      </c>
      <c r="O16" s="22"/>
    </row>
    <row r="17" spans="2:15" ht="15.75" x14ac:dyDescent="0.25">
      <c r="B17" s="169" t="s">
        <v>13</v>
      </c>
      <c r="C17" s="170"/>
      <c r="D17" s="170"/>
      <c r="E17" s="170"/>
      <c r="F17" s="170"/>
      <c r="G17" s="170"/>
      <c r="H17" s="170"/>
      <c r="I17" s="171"/>
      <c r="J17" s="25">
        <f>SUM(J9:J16)</f>
        <v>7332900</v>
      </c>
      <c r="K17" s="26">
        <f>SUM(K9:K16)</f>
        <v>0</v>
      </c>
      <c r="L17" s="27">
        <f>SUM(L9:L16)</f>
        <v>696254</v>
      </c>
      <c r="M17" s="28">
        <f>SUM(M9:M16)</f>
        <v>0</v>
      </c>
      <c r="N17" s="29"/>
      <c r="O17" s="30">
        <f>SUM(J17+K17+L17+M17)</f>
        <v>8029154</v>
      </c>
    </row>
    <row r="18" spans="2:15" ht="15.75" x14ac:dyDescent="0.25">
      <c r="B18" s="190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</row>
    <row r="19" spans="2:15" x14ac:dyDescent="0.25">
      <c r="B19" s="11">
        <v>1</v>
      </c>
      <c r="C19" s="31" t="s">
        <v>20</v>
      </c>
      <c r="D19" s="13" t="s">
        <v>465</v>
      </c>
      <c r="E19" s="32" t="s">
        <v>466</v>
      </c>
      <c r="F19" s="33" t="s">
        <v>467</v>
      </c>
      <c r="G19" s="34">
        <v>46147</v>
      </c>
      <c r="H19" s="35">
        <v>46160</v>
      </c>
      <c r="I19" s="36">
        <v>4302000</v>
      </c>
      <c r="J19" s="37">
        <f>I19</f>
        <v>4302000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2</v>
      </c>
      <c r="C20" s="31"/>
      <c r="D20" s="13" t="s">
        <v>468</v>
      </c>
      <c r="E20" s="32" t="s">
        <v>103</v>
      </c>
      <c r="F20" s="33" t="s">
        <v>353</v>
      </c>
      <c r="G20" s="34">
        <v>46150</v>
      </c>
      <c r="H20" s="35">
        <v>46163</v>
      </c>
      <c r="I20" s="36">
        <v>430200</v>
      </c>
      <c r="J20" s="37">
        <f t="shared" ref="J20:J31" si="3">I20</f>
        <v>430200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3</v>
      </c>
      <c r="C21" s="31"/>
      <c r="D21" s="13" t="s">
        <v>469</v>
      </c>
      <c r="E21" s="32" t="s">
        <v>470</v>
      </c>
      <c r="F21" s="33" t="s">
        <v>354</v>
      </c>
      <c r="G21" s="34">
        <v>46150</v>
      </c>
      <c r="H21" s="35">
        <v>46163</v>
      </c>
      <c r="I21" s="36">
        <v>430200</v>
      </c>
      <c r="J21" s="37">
        <f t="shared" si="3"/>
        <v>430200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4</v>
      </c>
      <c r="C22" s="31"/>
      <c r="D22" s="13" t="s">
        <v>471</v>
      </c>
      <c r="E22" s="32" t="s">
        <v>472</v>
      </c>
      <c r="F22" s="33" t="s">
        <v>90</v>
      </c>
      <c r="G22" s="34">
        <v>46151</v>
      </c>
      <c r="H22" s="35">
        <v>46164</v>
      </c>
      <c r="I22" s="36">
        <v>225600</v>
      </c>
      <c r="J22" s="37">
        <f t="shared" si="3"/>
        <v>225600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5</v>
      </c>
      <c r="C23" s="31"/>
      <c r="D23" s="13" t="s">
        <v>473</v>
      </c>
      <c r="E23" s="32" t="s">
        <v>474</v>
      </c>
      <c r="F23" s="33" t="s">
        <v>90</v>
      </c>
      <c r="G23" s="34">
        <v>46151</v>
      </c>
      <c r="H23" s="35">
        <v>46164</v>
      </c>
      <c r="I23" s="36">
        <v>177900</v>
      </c>
      <c r="J23" s="37">
        <f t="shared" si="3"/>
        <v>177900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6</v>
      </c>
      <c r="C24" s="31"/>
      <c r="D24" s="13" t="s">
        <v>475</v>
      </c>
      <c r="E24" s="32" t="s">
        <v>476</v>
      </c>
      <c r="F24" s="33" t="s">
        <v>90</v>
      </c>
      <c r="G24" s="34">
        <v>46151</v>
      </c>
      <c r="H24" s="35">
        <v>46164</v>
      </c>
      <c r="I24" s="36">
        <v>115100</v>
      </c>
      <c r="J24" s="37">
        <f t="shared" si="3"/>
        <v>115100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7</v>
      </c>
      <c r="C25" s="31"/>
      <c r="D25" s="13" t="s">
        <v>477</v>
      </c>
      <c r="E25" s="32" t="s">
        <v>478</v>
      </c>
      <c r="F25" s="33" t="s">
        <v>90</v>
      </c>
      <c r="G25" s="34">
        <v>46151</v>
      </c>
      <c r="H25" s="35">
        <v>46164</v>
      </c>
      <c r="I25" s="36">
        <v>330200</v>
      </c>
      <c r="J25" s="37">
        <f t="shared" si="3"/>
        <v>330200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8</v>
      </c>
      <c r="C26" s="31"/>
      <c r="D26" s="13" t="s">
        <v>479</v>
      </c>
      <c r="E26" s="32" t="s">
        <v>480</v>
      </c>
      <c r="F26" s="33" t="s">
        <v>481</v>
      </c>
      <c r="G26" s="34">
        <v>46164</v>
      </c>
      <c r="H26" s="35">
        <v>46177</v>
      </c>
      <c r="I26" s="36">
        <v>328700</v>
      </c>
      <c r="J26" s="37">
        <f t="shared" si="3"/>
        <v>328700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9</v>
      </c>
      <c r="C27" s="31"/>
      <c r="D27" s="13" t="s">
        <v>482</v>
      </c>
      <c r="E27" s="32" t="s">
        <v>483</v>
      </c>
      <c r="F27" s="33" t="s">
        <v>268</v>
      </c>
      <c r="G27" s="34">
        <v>46165</v>
      </c>
      <c r="H27" s="35">
        <v>46178</v>
      </c>
      <c r="I27" s="36">
        <v>215100</v>
      </c>
      <c r="J27" s="37">
        <f t="shared" si="3"/>
        <v>215100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10</v>
      </c>
      <c r="C28" s="31"/>
      <c r="D28" s="13" t="s">
        <v>484</v>
      </c>
      <c r="E28" s="32" t="s">
        <v>485</v>
      </c>
      <c r="F28" s="33" t="s">
        <v>486</v>
      </c>
      <c r="G28" s="34">
        <v>46165</v>
      </c>
      <c r="H28" s="35">
        <v>46178</v>
      </c>
      <c r="I28" s="36">
        <v>328700</v>
      </c>
      <c r="J28" s="37">
        <f t="shared" si="3"/>
        <v>328700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11</v>
      </c>
      <c r="C29" s="31"/>
      <c r="D29" s="13" t="s">
        <v>487</v>
      </c>
      <c r="E29" s="32" t="s">
        <v>488</v>
      </c>
      <c r="F29" s="33" t="s">
        <v>489</v>
      </c>
      <c r="G29" s="34">
        <v>46165</v>
      </c>
      <c r="H29" s="35">
        <v>46178</v>
      </c>
      <c r="I29" s="36">
        <v>215100</v>
      </c>
      <c r="J29" s="37">
        <v>100000</v>
      </c>
      <c r="K29" s="19"/>
      <c r="L29" s="24"/>
      <c r="M29" s="24"/>
      <c r="N29" s="22" t="s">
        <v>158</v>
      </c>
      <c r="O29" s="22"/>
    </row>
    <row r="30" spans="2:15" x14ac:dyDescent="0.25">
      <c r="B30" s="11">
        <v>12</v>
      </c>
      <c r="C30" s="31"/>
      <c r="D30" s="13" t="s">
        <v>490</v>
      </c>
      <c r="E30" s="32" t="s">
        <v>491</v>
      </c>
      <c r="F30" s="33" t="s">
        <v>90</v>
      </c>
      <c r="G30" s="34">
        <v>46165</v>
      </c>
      <c r="H30" s="35">
        <v>46178</v>
      </c>
      <c r="I30" s="36">
        <v>113600</v>
      </c>
      <c r="J30" s="37">
        <f t="shared" si="3"/>
        <v>113600</v>
      </c>
      <c r="K30" s="19"/>
      <c r="L30" s="24"/>
      <c r="M30" s="24"/>
      <c r="N30" s="22" t="s">
        <v>155</v>
      </c>
      <c r="O30" s="22"/>
    </row>
    <row r="31" spans="2:15" x14ac:dyDescent="0.25">
      <c r="B31" s="11">
        <v>13</v>
      </c>
      <c r="C31" s="31"/>
      <c r="D31" s="13" t="s">
        <v>492</v>
      </c>
      <c r="E31" s="32" t="s">
        <v>493</v>
      </c>
      <c r="F31" s="33" t="s">
        <v>90</v>
      </c>
      <c r="G31" s="34">
        <v>46165</v>
      </c>
      <c r="H31" s="35">
        <v>46178</v>
      </c>
      <c r="I31" s="36">
        <v>113600</v>
      </c>
      <c r="J31" s="37">
        <f t="shared" si="3"/>
        <v>113600</v>
      </c>
      <c r="K31" s="19"/>
      <c r="L31" s="24"/>
      <c r="M31" s="24"/>
      <c r="N31" s="22" t="s">
        <v>155</v>
      </c>
      <c r="O31" s="22"/>
    </row>
    <row r="32" spans="2:15" x14ac:dyDescent="0.25">
      <c r="B32" s="11">
        <v>14</v>
      </c>
      <c r="C32" s="31"/>
      <c r="D32" s="13" t="s">
        <v>495</v>
      </c>
      <c r="E32" s="32" t="s">
        <v>494</v>
      </c>
      <c r="F32" s="33" t="s">
        <v>268</v>
      </c>
      <c r="G32" s="34">
        <v>46163</v>
      </c>
      <c r="H32" s="35">
        <v>46176</v>
      </c>
      <c r="I32" s="36">
        <v>435000</v>
      </c>
      <c r="J32" s="37"/>
      <c r="K32" s="19"/>
      <c r="L32" s="24">
        <f t="shared" ref="L32:L38" si="4">I32</f>
        <v>435000</v>
      </c>
      <c r="M32" s="24"/>
      <c r="N32" s="22" t="s">
        <v>155</v>
      </c>
      <c r="O32" s="22"/>
    </row>
    <row r="33" spans="2:15" x14ac:dyDescent="0.25">
      <c r="B33" s="11">
        <v>15</v>
      </c>
      <c r="C33" s="31"/>
      <c r="D33" s="13" t="s">
        <v>496</v>
      </c>
      <c r="E33" s="32" t="s">
        <v>483</v>
      </c>
      <c r="F33" s="33" t="s">
        <v>268</v>
      </c>
      <c r="G33" s="34">
        <v>46165</v>
      </c>
      <c r="H33" s="35">
        <v>46178</v>
      </c>
      <c r="I33" s="36">
        <v>34278</v>
      </c>
      <c r="J33" s="37"/>
      <c r="K33" s="19"/>
      <c r="L33" s="24">
        <f t="shared" si="4"/>
        <v>34278</v>
      </c>
      <c r="M33" s="24"/>
      <c r="N33" s="22" t="s">
        <v>155</v>
      </c>
      <c r="O33" s="22"/>
    </row>
    <row r="34" spans="2:15" x14ac:dyDescent="0.25">
      <c r="B34" s="11">
        <v>16</v>
      </c>
      <c r="C34" s="31"/>
      <c r="D34" s="13" t="s">
        <v>497</v>
      </c>
      <c r="E34" s="32" t="s">
        <v>498</v>
      </c>
      <c r="F34" s="33" t="s">
        <v>268</v>
      </c>
      <c r="G34" s="34">
        <v>46165</v>
      </c>
      <c r="H34" s="35">
        <v>46178</v>
      </c>
      <c r="I34" s="36">
        <v>148556</v>
      </c>
      <c r="J34" s="37"/>
      <c r="K34" s="19"/>
      <c r="L34" s="24">
        <f t="shared" si="4"/>
        <v>148556</v>
      </c>
      <c r="M34" s="24"/>
      <c r="N34" s="22" t="s">
        <v>155</v>
      </c>
      <c r="O34" s="22"/>
    </row>
    <row r="35" spans="2:15" x14ac:dyDescent="0.25">
      <c r="B35" s="11">
        <v>17</v>
      </c>
      <c r="C35" s="31"/>
      <c r="D35" s="13" t="s">
        <v>499</v>
      </c>
      <c r="E35" s="32" t="s">
        <v>485</v>
      </c>
      <c r="F35" s="33" t="s">
        <v>486</v>
      </c>
      <c r="G35" s="34">
        <v>46165</v>
      </c>
      <c r="H35" s="35">
        <v>46178</v>
      </c>
      <c r="I35" s="36">
        <v>39000</v>
      </c>
      <c r="J35" s="37"/>
      <c r="K35" s="19"/>
      <c r="L35" s="24">
        <f t="shared" si="4"/>
        <v>39000</v>
      </c>
      <c r="M35" s="24"/>
      <c r="N35" s="22" t="s">
        <v>155</v>
      </c>
      <c r="O35" s="22"/>
    </row>
    <row r="36" spans="2:15" x14ac:dyDescent="0.25">
      <c r="B36" s="11">
        <v>18</v>
      </c>
      <c r="C36" s="31"/>
      <c r="D36" s="13" t="s">
        <v>500</v>
      </c>
      <c r="E36" s="32" t="s">
        <v>89</v>
      </c>
      <c r="F36" s="33" t="s">
        <v>90</v>
      </c>
      <c r="G36" s="34">
        <v>46165</v>
      </c>
      <c r="H36" s="35">
        <v>46178</v>
      </c>
      <c r="I36" s="36">
        <v>625500</v>
      </c>
      <c r="J36" s="37"/>
      <c r="K36" s="19"/>
      <c r="L36" s="24">
        <f t="shared" si="4"/>
        <v>625500</v>
      </c>
      <c r="M36" s="24"/>
      <c r="N36" s="22" t="s">
        <v>155</v>
      </c>
      <c r="O36" s="22"/>
    </row>
    <row r="37" spans="2:15" x14ac:dyDescent="0.25">
      <c r="B37" s="11">
        <v>19</v>
      </c>
      <c r="C37" s="31"/>
      <c r="D37" s="13" t="s">
        <v>501</v>
      </c>
      <c r="E37" s="32" t="s">
        <v>491</v>
      </c>
      <c r="F37" s="33" t="s">
        <v>90</v>
      </c>
      <c r="G37" s="34">
        <v>46165</v>
      </c>
      <c r="H37" s="35">
        <v>46178</v>
      </c>
      <c r="I37" s="36">
        <v>43500</v>
      </c>
      <c r="J37" s="37"/>
      <c r="K37" s="19"/>
      <c r="L37" s="24">
        <f t="shared" si="4"/>
        <v>43500</v>
      </c>
      <c r="M37" s="24"/>
      <c r="N37" s="22" t="s">
        <v>155</v>
      </c>
      <c r="O37" s="22"/>
    </row>
    <row r="38" spans="2:15" x14ac:dyDescent="0.25">
      <c r="B38" s="11">
        <v>20</v>
      </c>
      <c r="C38" s="31"/>
      <c r="D38" s="13" t="s">
        <v>502</v>
      </c>
      <c r="E38" s="32" t="s">
        <v>503</v>
      </c>
      <c r="F38" s="33" t="s">
        <v>90</v>
      </c>
      <c r="G38" s="34">
        <v>46165</v>
      </c>
      <c r="H38" s="35">
        <v>46178</v>
      </c>
      <c r="I38" s="36">
        <v>373500</v>
      </c>
      <c r="J38" s="37"/>
      <c r="K38" s="19"/>
      <c r="L38" s="24">
        <f t="shared" si="4"/>
        <v>373500</v>
      </c>
      <c r="M38" s="24"/>
      <c r="N38" s="22" t="s">
        <v>155</v>
      </c>
      <c r="O38" s="22"/>
    </row>
    <row r="39" spans="2:15" ht="15.75" x14ac:dyDescent="0.25">
      <c r="B39" s="192" t="s">
        <v>13</v>
      </c>
      <c r="C39" s="193"/>
      <c r="D39" s="193"/>
      <c r="E39" s="193"/>
      <c r="F39" s="193"/>
      <c r="G39" s="193"/>
      <c r="H39" s="193"/>
      <c r="I39" s="194"/>
      <c r="J39" s="38">
        <f>SUM(J19:J38)</f>
        <v>7210900</v>
      </c>
      <c r="K39" s="26">
        <f>SUM(K19:K38)</f>
        <v>0</v>
      </c>
      <c r="L39" s="27">
        <f>SUM(L19:L38)</f>
        <v>1699334</v>
      </c>
      <c r="M39" s="27">
        <f>SUM(M19:M38)</f>
        <v>0</v>
      </c>
      <c r="N39" s="39"/>
      <c r="O39" s="40">
        <f>SUM(J39+K39+L39+M39)</f>
        <v>8910234</v>
      </c>
    </row>
    <row r="40" spans="2:15" ht="15.75" x14ac:dyDescent="0.25">
      <c r="B40" s="195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</row>
    <row r="41" spans="2:15" ht="15.75" x14ac:dyDescent="0.25">
      <c r="B41" s="42">
        <v>1</v>
      </c>
      <c r="C41" s="43" t="s">
        <v>21</v>
      </c>
      <c r="D41" s="44" t="s">
        <v>396</v>
      </c>
      <c r="E41" s="45" t="s">
        <v>397</v>
      </c>
      <c r="F41" s="45" t="s">
        <v>398</v>
      </c>
      <c r="G41" s="46">
        <v>46164</v>
      </c>
      <c r="H41" s="46">
        <v>46177</v>
      </c>
      <c r="I41" s="47">
        <v>127200</v>
      </c>
      <c r="J41" s="48">
        <f>I41</f>
        <v>127200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2</v>
      </c>
      <c r="C42" s="43"/>
      <c r="D42" s="44" t="s">
        <v>399</v>
      </c>
      <c r="E42" s="45" t="s">
        <v>400</v>
      </c>
      <c r="F42" s="45" t="s">
        <v>398</v>
      </c>
      <c r="G42" s="46">
        <v>46164</v>
      </c>
      <c r="H42" s="46">
        <v>46177</v>
      </c>
      <c r="I42" s="47">
        <v>105100</v>
      </c>
      <c r="J42" s="48">
        <v>100000</v>
      </c>
      <c r="K42" s="49"/>
      <c r="L42" s="50"/>
      <c r="M42" s="50"/>
      <c r="N42" s="22" t="s">
        <v>158</v>
      </c>
      <c r="O42" s="42"/>
    </row>
    <row r="43" spans="2:15" ht="15.75" x14ac:dyDescent="0.25">
      <c r="B43" s="42">
        <v>3</v>
      </c>
      <c r="C43" s="43"/>
      <c r="D43" s="44" t="s">
        <v>401</v>
      </c>
      <c r="E43" s="45" t="s">
        <v>402</v>
      </c>
      <c r="F43" s="45" t="s">
        <v>403</v>
      </c>
      <c r="G43" s="46">
        <v>46164</v>
      </c>
      <c r="H43" s="46">
        <v>46177</v>
      </c>
      <c r="I43" s="47">
        <v>178700</v>
      </c>
      <c r="J43" s="48">
        <f t="shared" ref="J43:J49" si="5">I43</f>
        <v>178700</v>
      </c>
      <c r="K43" s="49"/>
      <c r="L43" s="50"/>
      <c r="M43" s="50"/>
      <c r="N43" s="22" t="s">
        <v>155</v>
      </c>
      <c r="O43" s="42"/>
    </row>
    <row r="44" spans="2:15" ht="15.75" x14ac:dyDescent="0.25">
      <c r="B44" s="42">
        <v>5</v>
      </c>
      <c r="C44" s="43"/>
      <c r="D44" s="44" t="s">
        <v>505</v>
      </c>
      <c r="E44" s="45" t="s">
        <v>506</v>
      </c>
      <c r="F44" s="45" t="s">
        <v>504</v>
      </c>
      <c r="G44" s="46">
        <v>46165</v>
      </c>
      <c r="H44" s="46">
        <v>46178</v>
      </c>
      <c r="I44" s="47">
        <v>215100</v>
      </c>
      <c r="J44" s="48">
        <v>100000</v>
      </c>
      <c r="K44" s="49"/>
      <c r="L44" s="50"/>
      <c r="M44" s="50"/>
      <c r="N44" s="22" t="s">
        <v>158</v>
      </c>
      <c r="O44" s="42"/>
    </row>
    <row r="45" spans="2:15" ht="15.75" x14ac:dyDescent="0.25">
      <c r="B45" s="42">
        <v>6</v>
      </c>
      <c r="C45" s="43"/>
      <c r="D45" s="44" t="s">
        <v>507</v>
      </c>
      <c r="E45" s="45" t="s">
        <v>508</v>
      </c>
      <c r="F45" s="45" t="s">
        <v>504</v>
      </c>
      <c r="G45" s="46">
        <v>46165</v>
      </c>
      <c r="H45" s="46">
        <v>46178</v>
      </c>
      <c r="I45" s="47">
        <v>215100</v>
      </c>
      <c r="J45" s="48">
        <f t="shared" si="5"/>
        <v>215100</v>
      </c>
      <c r="K45" s="49"/>
      <c r="L45" s="50"/>
      <c r="M45" s="50"/>
      <c r="N45" s="22" t="s">
        <v>155</v>
      </c>
      <c r="O45" s="42"/>
    </row>
    <row r="46" spans="2:15" ht="15.75" x14ac:dyDescent="0.25">
      <c r="B46" s="42">
        <v>7</v>
      </c>
      <c r="C46" s="43"/>
      <c r="D46" s="44" t="s">
        <v>509</v>
      </c>
      <c r="E46" s="45" t="s">
        <v>510</v>
      </c>
      <c r="F46" s="45" t="s">
        <v>504</v>
      </c>
      <c r="G46" s="46">
        <v>46165</v>
      </c>
      <c r="H46" s="46">
        <v>46178</v>
      </c>
      <c r="I46" s="47">
        <v>328700</v>
      </c>
      <c r="J46" s="48">
        <f t="shared" si="5"/>
        <v>328700</v>
      </c>
      <c r="K46" s="49"/>
      <c r="L46" s="50"/>
      <c r="M46" s="50"/>
      <c r="N46" s="22" t="s">
        <v>155</v>
      </c>
      <c r="O46" s="42"/>
    </row>
    <row r="47" spans="2:15" ht="15.75" x14ac:dyDescent="0.25">
      <c r="B47" s="42">
        <v>8</v>
      </c>
      <c r="C47" s="43"/>
      <c r="D47" s="44" t="s">
        <v>511</v>
      </c>
      <c r="E47" s="45" t="s">
        <v>512</v>
      </c>
      <c r="F47" s="45" t="s">
        <v>504</v>
      </c>
      <c r="G47" s="46">
        <v>46165</v>
      </c>
      <c r="H47" s="46">
        <v>46178</v>
      </c>
      <c r="I47" s="47">
        <v>645300</v>
      </c>
      <c r="J47" s="48">
        <f t="shared" si="5"/>
        <v>645300</v>
      </c>
      <c r="K47" s="49"/>
      <c r="L47" s="51"/>
      <c r="M47" s="51"/>
      <c r="N47" s="22" t="s">
        <v>155</v>
      </c>
      <c r="O47" s="42"/>
    </row>
    <row r="48" spans="2:15" ht="15.75" x14ac:dyDescent="0.25">
      <c r="B48" s="42">
        <v>9</v>
      </c>
      <c r="C48" s="43"/>
      <c r="D48" s="44" t="s">
        <v>513</v>
      </c>
      <c r="E48" s="45" t="s">
        <v>514</v>
      </c>
      <c r="F48" s="45" t="s">
        <v>515</v>
      </c>
      <c r="G48" s="46">
        <v>46165</v>
      </c>
      <c r="H48" s="46">
        <v>46178</v>
      </c>
      <c r="I48" s="47">
        <v>657400</v>
      </c>
      <c r="J48" s="48">
        <f t="shared" si="5"/>
        <v>657400</v>
      </c>
      <c r="K48" s="49"/>
      <c r="L48" s="51"/>
      <c r="M48" s="51"/>
      <c r="N48" s="22" t="s">
        <v>155</v>
      </c>
      <c r="O48" s="42"/>
    </row>
    <row r="49" spans="2:15" ht="15.75" x14ac:dyDescent="0.25">
      <c r="B49" s="42">
        <v>11</v>
      </c>
      <c r="C49" s="42"/>
      <c r="D49" s="44" t="s">
        <v>516</v>
      </c>
      <c r="E49" s="45" t="s">
        <v>517</v>
      </c>
      <c r="F49" s="45" t="s">
        <v>504</v>
      </c>
      <c r="G49" s="46">
        <v>46165</v>
      </c>
      <c r="H49" s="46">
        <v>46178</v>
      </c>
      <c r="I49" s="47">
        <v>215100</v>
      </c>
      <c r="J49" s="48">
        <f t="shared" si="5"/>
        <v>215100</v>
      </c>
      <c r="K49" s="49"/>
      <c r="L49" s="51"/>
      <c r="M49" s="51"/>
      <c r="N49" s="22" t="s">
        <v>155</v>
      </c>
      <c r="O49" s="42"/>
    </row>
    <row r="50" spans="2:15" ht="15.75" x14ac:dyDescent="0.25">
      <c r="B50" s="42">
        <v>13</v>
      </c>
      <c r="C50" s="42"/>
      <c r="D50" s="44" t="s">
        <v>518</v>
      </c>
      <c r="E50" s="45" t="s">
        <v>397</v>
      </c>
      <c r="F50" s="45" t="s">
        <v>398</v>
      </c>
      <c r="G50" s="46">
        <v>46164</v>
      </c>
      <c r="H50" s="46">
        <v>46177</v>
      </c>
      <c r="I50" s="47">
        <v>288000</v>
      </c>
      <c r="J50" s="48"/>
      <c r="K50" s="49"/>
      <c r="L50" s="51">
        <f t="shared" ref="L50:L51" si="6">I50</f>
        <v>288000</v>
      </c>
      <c r="M50" s="51"/>
      <c r="N50" s="22" t="s">
        <v>155</v>
      </c>
      <c r="O50" s="42"/>
    </row>
    <row r="51" spans="2:15" ht="15.75" x14ac:dyDescent="0.25">
      <c r="B51" s="42">
        <v>14</v>
      </c>
      <c r="C51" s="42"/>
      <c r="D51" s="44" t="s">
        <v>519</v>
      </c>
      <c r="E51" s="45" t="s">
        <v>520</v>
      </c>
      <c r="F51" s="45" t="s">
        <v>521</v>
      </c>
      <c r="G51" s="46">
        <v>46165</v>
      </c>
      <c r="H51" s="46">
        <v>46178</v>
      </c>
      <c r="I51" s="47">
        <v>288000</v>
      </c>
      <c r="J51" s="48"/>
      <c r="K51" s="49"/>
      <c r="L51" s="51">
        <f t="shared" si="6"/>
        <v>288000</v>
      </c>
      <c r="M51" s="51"/>
      <c r="N51" s="22" t="s">
        <v>155</v>
      </c>
      <c r="O51" s="42"/>
    </row>
    <row r="52" spans="2:15" ht="15.75" x14ac:dyDescent="0.25">
      <c r="B52" s="197" t="s">
        <v>13</v>
      </c>
      <c r="C52" s="198"/>
      <c r="D52" s="198"/>
      <c r="E52" s="198"/>
      <c r="F52" s="198"/>
      <c r="G52" s="198"/>
      <c r="H52" s="198"/>
      <c r="I52" s="199"/>
      <c r="J52" s="52">
        <f>SUM(J41:J51)</f>
        <v>2567500</v>
      </c>
      <c r="K52" s="53">
        <f>SUM(K41:K51)</f>
        <v>0</v>
      </c>
      <c r="L52" s="54">
        <f>SUM(L41:L51)</f>
        <v>576000</v>
      </c>
      <c r="M52" s="54">
        <f>SUM(M41:M51)</f>
        <v>0</v>
      </c>
      <c r="N52" s="55"/>
      <c r="O52" s="56">
        <f>SUM(J52+K52+L52+M52)</f>
        <v>3143500</v>
      </c>
    </row>
    <row r="53" spans="2:15" x14ac:dyDescent="0.25">
      <c r="D53" s="57"/>
      <c r="I53" s="58"/>
      <c r="J53" s="58"/>
    </row>
    <row r="54" spans="2:15" x14ac:dyDescent="0.25">
      <c r="D54" s="57"/>
      <c r="I54" s="58"/>
      <c r="J54" s="58"/>
    </row>
    <row r="55" spans="2:15" ht="15.75" x14ac:dyDescent="0.25">
      <c r="D55" s="57"/>
      <c r="G55" s="200" t="s">
        <v>22</v>
      </c>
      <c r="H55" s="200"/>
      <c r="I55" s="200"/>
      <c r="J55" s="59">
        <f>SUM(J52+J39+J17)</f>
        <v>17111300</v>
      </c>
      <c r="K55" s="26">
        <f>SUM(K52+K39+K17)</f>
        <v>0</v>
      </c>
      <c r="L55" s="60">
        <f>SUM(L52+L39+L17)</f>
        <v>2971588</v>
      </c>
      <c r="M55" s="60">
        <f>SUM(M52+M39+M17)</f>
        <v>0</v>
      </c>
      <c r="N55" s="39"/>
      <c r="O55" s="30">
        <f>SUM(J55+K55+L55+M55)</f>
        <v>20082888</v>
      </c>
    </row>
    <row r="56" spans="2:15" x14ac:dyDescent="0.25">
      <c r="D56" s="57"/>
      <c r="I56" s="58"/>
      <c r="J56" s="58"/>
    </row>
    <row r="57" spans="2:15" x14ac:dyDescent="0.25">
      <c r="B57" s="201" t="s">
        <v>17</v>
      </c>
      <c r="C57" s="201"/>
      <c r="D57" s="201"/>
      <c r="I57" s="58"/>
      <c r="J57" s="58"/>
    </row>
    <row r="58" spans="2:15" ht="15.75" x14ac:dyDescent="0.25">
      <c r="B58" s="188" t="s">
        <v>4</v>
      </c>
      <c r="C58" s="202" t="s">
        <v>23</v>
      </c>
      <c r="D58" s="188" t="s">
        <v>6</v>
      </c>
      <c r="E58" s="188" t="s">
        <v>7</v>
      </c>
      <c r="F58" s="188" t="s">
        <v>8</v>
      </c>
      <c r="G58" s="188" t="s">
        <v>9</v>
      </c>
      <c r="H58" s="188" t="s">
        <v>10</v>
      </c>
      <c r="I58" s="202" t="s">
        <v>24</v>
      </c>
      <c r="J58" s="169" t="s">
        <v>12</v>
      </c>
      <c r="K58" s="170"/>
      <c r="L58" s="170"/>
      <c r="M58" s="170"/>
      <c r="N58" s="171"/>
      <c r="O58" s="204" t="s">
        <v>13</v>
      </c>
    </row>
    <row r="59" spans="2:15" ht="15.75" x14ac:dyDescent="0.25">
      <c r="B59" s="189"/>
      <c r="C59" s="203"/>
      <c r="D59" s="189"/>
      <c r="E59" s="189"/>
      <c r="F59" s="189"/>
      <c r="G59" s="189"/>
      <c r="H59" s="189"/>
      <c r="I59" s="203"/>
      <c r="J59" s="164" t="s">
        <v>14</v>
      </c>
      <c r="K59" s="165"/>
      <c r="L59" s="166" t="s">
        <v>15</v>
      </c>
      <c r="M59" s="167"/>
      <c r="N59" s="4" t="s">
        <v>16</v>
      </c>
      <c r="O59" s="205"/>
    </row>
    <row r="60" spans="2:15" ht="15.75" x14ac:dyDescent="0.25">
      <c r="B60" s="5"/>
      <c r="C60" s="61"/>
      <c r="D60" s="5"/>
      <c r="E60" s="5"/>
      <c r="F60" s="5"/>
      <c r="G60" s="5"/>
      <c r="H60" s="5"/>
      <c r="I60" s="61"/>
      <c r="J60" s="62" t="s">
        <v>17</v>
      </c>
      <c r="K60" s="6" t="s">
        <v>18</v>
      </c>
      <c r="L60" s="10" t="s">
        <v>17</v>
      </c>
      <c r="M60" s="10" t="s">
        <v>18</v>
      </c>
      <c r="N60" s="4"/>
      <c r="O60" s="7"/>
    </row>
    <row r="61" spans="2:15" ht="15" customHeight="1" x14ac:dyDescent="0.25">
      <c r="B61" s="63">
        <v>1</v>
      </c>
      <c r="C61" s="43" t="s">
        <v>154</v>
      </c>
      <c r="D61" s="64" t="s">
        <v>522</v>
      </c>
      <c r="E61" s="65" t="s">
        <v>523</v>
      </c>
      <c r="F61" s="65" t="s">
        <v>326</v>
      </c>
      <c r="G61" s="66">
        <v>46178</v>
      </c>
      <c r="H61" s="66"/>
      <c r="I61" s="67">
        <v>2338600</v>
      </c>
      <c r="J61" s="37">
        <f>I61</f>
        <v>2338600</v>
      </c>
      <c r="K61" s="68"/>
      <c r="L61" s="69"/>
      <c r="M61" s="69"/>
      <c r="N61" s="22" t="s">
        <v>155</v>
      </c>
      <c r="O61" s="70"/>
    </row>
    <row r="62" spans="2:15" ht="15" customHeight="1" x14ac:dyDescent="0.25">
      <c r="B62" s="63">
        <v>2</v>
      </c>
      <c r="C62" s="43" t="s">
        <v>154</v>
      </c>
      <c r="D62" s="71" t="s">
        <v>524</v>
      </c>
      <c r="E62" s="71" t="s">
        <v>394</v>
      </c>
      <c r="F62" s="70" t="s">
        <v>395</v>
      </c>
      <c r="G62" s="66">
        <v>46178</v>
      </c>
      <c r="H62" s="72"/>
      <c r="I62" s="22">
        <v>999900</v>
      </c>
      <c r="J62" s="37">
        <f t="shared" ref="J62:J65" si="7">I62</f>
        <v>999900</v>
      </c>
      <c r="K62" s="68"/>
      <c r="L62" s="24"/>
      <c r="M62" s="69"/>
      <c r="N62" s="22" t="s">
        <v>155</v>
      </c>
      <c r="O62" s="70"/>
    </row>
    <row r="63" spans="2:15" ht="15" customHeight="1" x14ac:dyDescent="0.25">
      <c r="B63" s="63">
        <v>3</v>
      </c>
      <c r="C63" s="43" t="s">
        <v>154</v>
      </c>
      <c r="D63" s="71" t="s">
        <v>525</v>
      </c>
      <c r="E63" s="71" t="s">
        <v>526</v>
      </c>
      <c r="F63" s="70" t="s">
        <v>398</v>
      </c>
      <c r="G63" s="66">
        <v>46178</v>
      </c>
      <c r="H63" s="72"/>
      <c r="I63" s="22">
        <v>555500</v>
      </c>
      <c r="J63" s="37">
        <f t="shared" si="7"/>
        <v>555500</v>
      </c>
      <c r="K63" s="68"/>
      <c r="L63" s="24"/>
      <c r="M63" s="69"/>
      <c r="N63" s="22" t="s">
        <v>155</v>
      </c>
      <c r="O63" s="70"/>
    </row>
    <row r="64" spans="2:15" ht="15" customHeight="1" x14ac:dyDescent="0.25">
      <c r="B64" s="63">
        <v>4</v>
      </c>
      <c r="C64" s="43" t="s">
        <v>154</v>
      </c>
      <c r="D64" s="71" t="s">
        <v>527</v>
      </c>
      <c r="E64" s="71" t="s">
        <v>279</v>
      </c>
      <c r="F64" s="70" t="s">
        <v>398</v>
      </c>
      <c r="G64" s="66">
        <v>46178</v>
      </c>
      <c r="H64" s="72"/>
      <c r="I64" s="22">
        <v>227200</v>
      </c>
      <c r="J64" s="37">
        <f t="shared" si="7"/>
        <v>227200</v>
      </c>
      <c r="K64" s="68"/>
      <c r="L64" s="24"/>
      <c r="M64" s="69"/>
      <c r="N64" s="22" t="s">
        <v>155</v>
      </c>
      <c r="O64" s="70"/>
    </row>
    <row r="65" spans="1:15" ht="15" customHeight="1" x14ac:dyDescent="0.25">
      <c r="B65" s="63">
        <v>5</v>
      </c>
      <c r="C65" s="43" t="s">
        <v>154</v>
      </c>
      <c r="D65" s="71" t="s">
        <v>528</v>
      </c>
      <c r="E65" s="71" t="s">
        <v>529</v>
      </c>
      <c r="F65" s="70" t="s">
        <v>398</v>
      </c>
      <c r="G65" s="66">
        <v>46178</v>
      </c>
      <c r="H65" s="72"/>
      <c r="I65" s="22">
        <v>113600</v>
      </c>
      <c r="J65" s="37">
        <f t="shared" si="7"/>
        <v>113600</v>
      </c>
      <c r="K65" s="68"/>
      <c r="L65" s="69"/>
      <c r="M65" s="69"/>
      <c r="N65" s="22" t="s">
        <v>155</v>
      </c>
      <c r="O65" s="70"/>
    </row>
    <row r="66" spans="1:15" ht="15" customHeight="1" x14ac:dyDescent="0.25">
      <c r="B66" s="63">
        <v>6</v>
      </c>
      <c r="C66" s="12" t="s">
        <v>440</v>
      </c>
      <c r="D66" s="71" t="s">
        <v>538</v>
      </c>
      <c r="E66" s="71" t="s">
        <v>539</v>
      </c>
      <c r="F66" s="70" t="s">
        <v>540</v>
      </c>
      <c r="G66" s="66">
        <v>46178</v>
      </c>
      <c r="H66" s="72"/>
      <c r="I66" s="22">
        <v>645300</v>
      </c>
      <c r="J66" s="73">
        <f>I66</f>
        <v>645300</v>
      </c>
      <c r="K66" s="68"/>
      <c r="L66" s="69"/>
      <c r="M66" s="69"/>
      <c r="N66" s="22" t="s">
        <v>155</v>
      </c>
      <c r="O66" s="70"/>
    </row>
    <row r="67" spans="1:15" ht="15" customHeight="1" x14ac:dyDescent="0.25">
      <c r="B67" s="63">
        <v>7</v>
      </c>
      <c r="C67" s="12" t="s">
        <v>440</v>
      </c>
      <c r="D67" s="71" t="s">
        <v>541</v>
      </c>
      <c r="E67" s="71" t="s">
        <v>379</v>
      </c>
      <c r="F67" s="70" t="s">
        <v>388</v>
      </c>
      <c r="G67" s="66">
        <v>46178</v>
      </c>
      <c r="H67" s="72"/>
      <c r="I67" s="22">
        <v>1961400</v>
      </c>
      <c r="J67" s="73">
        <f t="shared" ref="J67:J68" si="8">I67</f>
        <v>1961400</v>
      </c>
      <c r="K67" s="68"/>
      <c r="L67" s="69"/>
      <c r="M67" s="69"/>
      <c r="N67" s="22" t="s">
        <v>155</v>
      </c>
      <c r="O67" s="70"/>
    </row>
    <row r="68" spans="1:15" ht="15" customHeight="1" x14ac:dyDescent="0.25">
      <c r="B68" s="63">
        <v>8</v>
      </c>
      <c r="C68" s="12" t="s">
        <v>440</v>
      </c>
      <c r="D68" s="71" t="s">
        <v>542</v>
      </c>
      <c r="E68" s="71" t="s">
        <v>387</v>
      </c>
      <c r="F68" s="70" t="s">
        <v>388</v>
      </c>
      <c r="G68" s="66">
        <v>46178</v>
      </c>
      <c r="H68" s="72"/>
      <c r="I68" s="22">
        <v>555500</v>
      </c>
      <c r="J68" s="73">
        <f t="shared" si="8"/>
        <v>555500</v>
      </c>
      <c r="K68" s="68"/>
      <c r="L68" s="69"/>
      <c r="M68" s="69"/>
      <c r="N68" s="22" t="s">
        <v>155</v>
      </c>
      <c r="O68" s="70"/>
    </row>
    <row r="69" spans="1:15" ht="15.75" x14ac:dyDescent="0.25">
      <c r="B69" s="169" t="s">
        <v>25</v>
      </c>
      <c r="C69" s="170"/>
      <c r="D69" s="170"/>
      <c r="E69" s="170"/>
      <c r="F69" s="170"/>
      <c r="G69" s="170"/>
      <c r="H69" s="170"/>
      <c r="I69" s="171"/>
      <c r="J69" s="25">
        <f>SUM(J61:J68)</f>
        <v>7397000</v>
      </c>
      <c r="K69" s="74">
        <f>SUM(K61:K68)</f>
        <v>0</v>
      </c>
      <c r="L69" s="60">
        <f>SUM(L61:L68)</f>
        <v>0</v>
      </c>
      <c r="M69" s="60">
        <f>SUM(M61:M68)</f>
        <v>0</v>
      </c>
      <c r="N69" s="39"/>
      <c r="O69" s="75">
        <f>SUM(J69+K69+L69+M69)</f>
        <v>7397000</v>
      </c>
    </row>
    <row r="70" spans="1:15" ht="15.75" x14ac:dyDescent="0.25">
      <c r="B70" s="172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</row>
    <row r="71" spans="1:15" x14ac:dyDescent="0.25">
      <c r="B71" s="44">
        <v>1</v>
      </c>
      <c r="C71" s="12" t="s">
        <v>330</v>
      </c>
      <c r="D71" s="71" t="s">
        <v>530</v>
      </c>
      <c r="E71" s="71" t="s">
        <v>531</v>
      </c>
      <c r="F71" s="70" t="s">
        <v>333</v>
      </c>
      <c r="G71" s="66">
        <v>46178</v>
      </c>
      <c r="H71" s="72"/>
      <c r="I71" s="22">
        <v>430200</v>
      </c>
      <c r="J71" s="73">
        <f>I71</f>
        <v>430200</v>
      </c>
      <c r="K71" s="68"/>
      <c r="L71" s="69"/>
      <c r="M71" s="69"/>
      <c r="N71" s="22" t="s">
        <v>155</v>
      </c>
      <c r="O71" s="70"/>
    </row>
    <row r="72" spans="1:15" x14ac:dyDescent="0.25">
      <c r="B72" s="44">
        <v>2</v>
      </c>
      <c r="C72" s="12" t="s">
        <v>330</v>
      </c>
      <c r="D72" s="71" t="s">
        <v>532</v>
      </c>
      <c r="E72" s="71" t="s">
        <v>533</v>
      </c>
      <c r="F72" s="70" t="s">
        <v>534</v>
      </c>
      <c r="G72" s="66">
        <v>46178</v>
      </c>
      <c r="H72" s="72"/>
      <c r="I72" s="22">
        <v>215100</v>
      </c>
      <c r="J72" s="73">
        <f>I72</f>
        <v>215100</v>
      </c>
      <c r="K72" s="68"/>
      <c r="L72" s="24"/>
      <c r="M72" s="24"/>
      <c r="N72" s="22" t="s">
        <v>155</v>
      </c>
      <c r="O72" s="70"/>
    </row>
    <row r="73" spans="1:15" x14ac:dyDescent="0.25">
      <c r="B73" s="44">
        <v>3</v>
      </c>
      <c r="C73" s="12" t="s">
        <v>330</v>
      </c>
      <c r="D73" s="71" t="s">
        <v>535</v>
      </c>
      <c r="E73" s="71" t="s">
        <v>536</v>
      </c>
      <c r="F73" s="70" t="s">
        <v>336</v>
      </c>
      <c r="G73" s="66">
        <v>46178</v>
      </c>
      <c r="H73" s="72"/>
      <c r="I73" s="22">
        <v>87000</v>
      </c>
      <c r="J73" s="73"/>
      <c r="K73" s="68"/>
      <c r="L73" s="24">
        <f>I73</f>
        <v>87000</v>
      </c>
      <c r="M73" s="24"/>
      <c r="N73" s="22" t="s">
        <v>155</v>
      </c>
      <c r="O73" s="70"/>
    </row>
    <row r="74" spans="1:15" x14ac:dyDescent="0.25">
      <c r="B74" s="44">
        <v>4</v>
      </c>
      <c r="C74" s="12" t="s">
        <v>330</v>
      </c>
      <c r="D74" s="71" t="s">
        <v>537</v>
      </c>
      <c r="E74" s="71" t="s">
        <v>533</v>
      </c>
      <c r="F74" s="70" t="s">
        <v>534</v>
      </c>
      <c r="G74" s="66">
        <v>46178</v>
      </c>
      <c r="H74" s="72"/>
      <c r="I74" s="22">
        <v>86001</v>
      </c>
      <c r="J74" s="73"/>
      <c r="K74" s="68"/>
      <c r="L74" s="24">
        <f>I74</f>
        <v>86001</v>
      </c>
      <c r="M74" s="24"/>
      <c r="N74" s="22" t="s">
        <v>155</v>
      </c>
      <c r="O74" s="70"/>
    </row>
    <row r="75" spans="1:15" ht="15.75" x14ac:dyDescent="0.25">
      <c r="A75" t="s">
        <v>3</v>
      </c>
      <c r="B75" s="169" t="s">
        <v>25</v>
      </c>
      <c r="C75" s="170"/>
      <c r="D75" s="170"/>
      <c r="E75" s="170"/>
      <c r="F75" s="170"/>
      <c r="G75" s="170"/>
      <c r="H75" s="170"/>
      <c r="I75" s="171"/>
      <c r="J75" s="76">
        <f>SUM(J71:J74)</f>
        <v>645300</v>
      </c>
      <c r="K75" s="74">
        <f>SUM(K71:K74)</f>
        <v>0</v>
      </c>
      <c r="L75" s="60">
        <f>SUM(L71:L74)</f>
        <v>173001</v>
      </c>
      <c r="M75" s="60">
        <f>SUM(M71:M74)</f>
        <v>0</v>
      </c>
      <c r="N75" s="39"/>
      <c r="O75" s="75">
        <f>SUM(J75+K75+L75+M75)</f>
        <v>818301</v>
      </c>
    </row>
    <row r="76" spans="1:15" x14ac:dyDescent="0.25">
      <c r="D76" s="57"/>
      <c r="I76" s="58"/>
      <c r="J76" s="58"/>
    </row>
    <row r="77" spans="1:15" ht="15.75" x14ac:dyDescent="0.25">
      <c r="D77" s="57"/>
      <c r="G77" s="162" t="s">
        <v>1646</v>
      </c>
      <c r="H77" s="162"/>
      <c r="I77" s="163"/>
      <c r="J77" s="25">
        <f>SUM(J75+J69)</f>
        <v>8042300</v>
      </c>
      <c r="K77" s="74">
        <f>SUM(K75+K69)</f>
        <v>0</v>
      </c>
      <c r="L77" s="60">
        <f>SUM(L75+L69)</f>
        <v>173001</v>
      </c>
      <c r="M77" s="60">
        <f>SUM(M75+M69)</f>
        <v>0</v>
      </c>
      <c r="N77" s="39"/>
      <c r="O77" s="77">
        <f>SUM(J77+K77+L77+M77)</f>
        <v>8215301</v>
      </c>
    </row>
    <row r="78" spans="1:15" ht="15.75" x14ac:dyDescent="0.25">
      <c r="D78" s="57"/>
      <c r="H78" s="41"/>
      <c r="I78" s="41"/>
      <c r="J78" s="41"/>
      <c r="K78" s="78"/>
      <c r="L78" s="78"/>
      <c r="M78" s="78"/>
      <c r="N78" s="79"/>
      <c r="O78" s="80"/>
    </row>
    <row r="79" spans="1:15" ht="15.75" x14ac:dyDescent="0.25">
      <c r="D79" s="57"/>
      <c r="H79" s="174" t="s">
        <v>27</v>
      </c>
      <c r="I79" s="175"/>
      <c r="J79" s="180" t="s">
        <v>14</v>
      </c>
      <c r="K79" s="180"/>
      <c r="L79" s="181" t="s">
        <v>15</v>
      </c>
      <c r="M79" s="181"/>
      <c r="N79" s="70"/>
      <c r="O79" s="182"/>
    </row>
    <row r="80" spans="1:15" ht="15.75" x14ac:dyDescent="0.25">
      <c r="D80" s="57"/>
      <c r="H80" s="176"/>
      <c r="I80" s="177"/>
      <c r="J80" s="6" t="s">
        <v>17</v>
      </c>
      <c r="K80" s="81" t="s">
        <v>18</v>
      </c>
      <c r="L80" s="82" t="s">
        <v>17</v>
      </c>
      <c r="M80" s="82" t="s">
        <v>18</v>
      </c>
      <c r="N80" s="70"/>
      <c r="O80" s="182"/>
    </row>
    <row r="81" spans="4:15" ht="15.75" x14ac:dyDescent="0.25">
      <c r="D81" s="57"/>
      <c r="H81" s="178"/>
      <c r="I81" s="179"/>
      <c r="J81" s="74">
        <f>SUM(J55,J77)</f>
        <v>25153600</v>
      </c>
      <c r="K81" s="74">
        <f>SUM(K77+K55)</f>
        <v>0</v>
      </c>
      <c r="L81" s="60">
        <f>SUM(L77+L55)</f>
        <v>3144589</v>
      </c>
      <c r="M81" s="60">
        <f>SUM(M77+M55)</f>
        <v>0</v>
      </c>
      <c r="N81" s="39"/>
      <c r="O81" s="182"/>
    </row>
    <row r="82" spans="4:15" x14ac:dyDescent="0.25">
      <c r="D82" s="57"/>
      <c r="I82" s="58"/>
      <c r="J82" s="58"/>
    </row>
    <row r="83" spans="4:15" ht="18.75" x14ac:dyDescent="0.3">
      <c r="D83" s="57"/>
      <c r="H83" s="183"/>
      <c r="I83" s="183"/>
      <c r="J83" s="83"/>
      <c r="L83" s="184" t="s">
        <v>28</v>
      </c>
      <c r="M83" s="185"/>
      <c r="N83" s="84">
        <f>SUM(J81+L81)</f>
        <v>28298189</v>
      </c>
      <c r="O83" s="186">
        <f>SUM(N83+N84)</f>
        <v>28298189</v>
      </c>
    </row>
    <row r="84" spans="4:15" ht="18.75" x14ac:dyDescent="0.3">
      <c r="D84" s="57"/>
      <c r="H84" s="183"/>
      <c r="I84" s="183"/>
      <c r="J84" s="83"/>
      <c r="L84" s="184" t="s">
        <v>29</v>
      </c>
      <c r="M84" s="185"/>
      <c r="N84" s="84">
        <f>SUM(K81+M81)</f>
        <v>0</v>
      </c>
      <c r="O84" s="187"/>
    </row>
    <row r="85" spans="4:15" ht="18.75" x14ac:dyDescent="0.3">
      <c r="D85" s="57"/>
      <c r="H85" s="168"/>
      <c r="I85" s="168"/>
      <c r="J85" s="85"/>
      <c r="K85" s="86"/>
    </row>
    <row r="86" spans="4:15" x14ac:dyDescent="0.25">
      <c r="D86" s="2" t="s">
        <v>30</v>
      </c>
      <c r="E86" s="1"/>
      <c r="F86" s="1"/>
      <c r="G86" s="1"/>
      <c r="H86" s="1"/>
      <c r="I86" s="1"/>
      <c r="J86" s="1"/>
      <c r="K86" s="1"/>
    </row>
    <row r="87" spans="4:15" x14ac:dyDescent="0.25">
      <c r="D87" s="2"/>
      <c r="E87" s="1"/>
      <c r="F87" s="1"/>
      <c r="G87" s="1"/>
      <c r="H87" s="1"/>
      <c r="I87" s="1"/>
      <c r="J87" s="1"/>
      <c r="K87" s="1"/>
    </row>
    <row r="88" spans="4:15" x14ac:dyDescent="0.25">
      <c r="D88" s="3" t="s">
        <v>31</v>
      </c>
      <c r="E88" s="3"/>
      <c r="F88" s="3" t="s">
        <v>32</v>
      </c>
      <c r="G88" s="3"/>
      <c r="H88" s="3" t="s">
        <v>33</v>
      </c>
      <c r="I88" s="3"/>
      <c r="J88" s="3" t="s">
        <v>34</v>
      </c>
      <c r="K88" s="3"/>
    </row>
    <row r="89" spans="4:15" x14ac:dyDescent="0.25">
      <c r="D89" s="3"/>
      <c r="E89" s="3"/>
      <c r="F89" s="3"/>
      <c r="G89" s="3"/>
      <c r="H89" s="3"/>
      <c r="I89" s="3"/>
      <c r="J89" s="3"/>
      <c r="K89" s="3"/>
    </row>
    <row r="90" spans="4:15" x14ac:dyDescent="0.25">
      <c r="D90" s="3"/>
      <c r="E90" s="3"/>
      <c r="F90" s="3"/>
      <c r="G90" s="3"/>
      <c r="H90" s="3"/>
      <c r="I90" s="3"/>
      <c r="J90" s="3"/>
      <c r="K90" s="3"/>
    </row>
    <row r="91" spans="4:15" x14ac:dyDescent="0.25">
      <c r="D91" s="3"/>
      <c r="E91" s="3"/>
      <c r="F91" s="3"/>
      <c r="G91" s="3"/>
      <c r="H91" s="3"/>
      <c r="I91" s="3"/>
      <c r="J91" s="3"/>
      <c r="K91" s="3"/>
    </row>
    <row r="92" spans="4:15" x14ac:dyDescent="0.25">
      <c r="D92" s="3" t="s">
        <v>35</v>
      </c>
      <c r="E92" s="3"/>
      <c r="F92" s="3" t="s">
        <v>36</v>
      </c>
      <c r="G92" s="3"/>
      <c r="H92" s="3" t="s">
        <v>36</v>
      </c>
      <c r="I92" s="3"/>
      <c r="J92" s="3" t="s">
        <v>37</v>
      </c>
      <c r="K92" s="3"/>
    </row>
    <row r="93" spans="4:15" x14ac:dyDescent="0.25">
      <c r="D93" s="57"/>
    </row>
    <row r="94" spans="4:15" x14ac:dyDescent="0.25">
      <c r="D94" s="57"/>
    </row>
    <row r="95" spans="4:15" x14ac:dyDescent="0.25">
      <c r="D95" s="57"/>
    </row>
    <row r="96" spans="4:15" x14ac:dyDescent="0.25">
      <c r="D96" s="57"/>
    </row>
    <row r="97" spans="4:4" x14ac:dyDescent="0.25">
      <c r="D97" s="57"/>
    </row>
  </sheetData>
  <mergeCells count="48">
    <mergeCell ref="O58:O59"/>
    <mergeCell ref="J59:K59"/>
    <mergeCell ref="L59:M59"/>
    <mergeCell ref="H85:I85"/>
    <mergeCell ref="B69:I69"/>
    <mergeCell ref="B70:O70"/>
    <mergeCell ref="B75:I75"/>
    <mergeCell ref="H79:I81"/>
    <mergeCell ref="J79:K79"/>
    <mergeCell ref="L79:M79"/>
    <mergeCell ref="O79:O81"/>
    <mergeCell ref="H83:I83"/>
    <mergeCell ref="L83:M83"/>
    <mergeCell ref="O83:O84"/>
    <mergeCell ref="H84:I84"/>
    <mergeCell ref="L84:M84"/>
    <mergeCell ref="L7:M7"/>
    <mergeCell ref="G58:G59"/>
    <mergeCell ref="B18:O18"/>
    <mergeCell ref="B39:I39"/>
    <mergeCell ref="B40:O40"/>
    <mergeCell ref="B52:I52"/>
    <mergeCell ref="G55:I55"/>
    <mergeCell ref="B57:D57"/>
    <mergeCell ref="B58:B59"/>
    <mergeCell ref="C58:C59"/>
    <mergeCell ref="D58:D59"/>
    <mergeCell ref="E58:E59"/>
    <mergeCell ref="F58:F59"/>
    <mergeCell ref="H58:H59"/>
    <mergeCell ref="I58:I59"/>
    <mergeCell ref="J58:N58"/>
    <mergeCell ref="G77:I77"/>
    <mergeCell ref="B17:I17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" right="0" top="0" bottom="0" header="0" footer="0"/>
  <pageSetup paperSize="9" scale="60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2BF1-7CCB-4A40-92C8-57E24ABF8B35}">
  <dimension ref="A2:Q86"/>
  <sheetViews>
    <sheetView topLeftCell="A43" workbookViewId="0">
      <selection activeCell="G66" sqref="G66:I66"/>
    </sheetView>
  </sheetViews>
  <sheetFormatPr defaultRowHeight="15" x14ac:dyDescent="0.25"/>
  <cols>
    <col min="1" max="1" width="2.140625" style="88" customWidth="1"/>
    <col min="2" max="2" width="4.28515625" style="88" customWidth="1"/>
    <col min="3" max="3" width="12.42578125" style="88" customWidth="1"/>
    <col min="4" max="4" width="16.42578125" style="88" customWidth="1"/>
    <col min="5" max="5" width="15.28515625" style="88" customWidth="1"/>
    <col min="6" max="6" width="12.28515625" style="88" customWidth="1"/>
    <col min="7" max="7" width="11.7109375" style="88" customWidth="1"/>
    <col min="8" max="8" width="13" style="88" customWidth="1"/>
    <col min="9" max="9" width="14.5703125" style="88" customWidth="1"/>
    <col min="10" max="10" width="16.5703125" style="88" customWidth="1"/>
    <col min="11" max="11" width="17.42578125" style="88" customWidth="1"/>
    <col min="12" max="12" width="15.5703125" style="88" customWidth="1"/>
    <col min="13" max="13" width="17.5703125" style="88" customWidth="1"/>
    <col min="14" max="14" width="23.5703125" style="88" customWidth="1"/>
    <col min="15" max="15" width="22.140625" style="88" customWidth="1"/>
    <col min="16" max="16384" width="9.140625" style="88"/>
  </cols>
  <sheetData>
    <row r="2" spans="2:17" x14ac:dyDescent="0.25">
      <c r="B2" s="87" t="s">
        <v>0</v>
      </c>
    </row>
    <row r="3" spans="2:17" x14ac:dyDescent="0.25">
      <c r="B3" s="224" t="s">
        <v>1</v>
      </c>
      <c r="C3" s="224"/>
      <c r="D3" s="224"/>
    </row>
    <row r="4" spans="2:17" x14ac:dyDescent="0.25">
      <c r="K4" s="87"/>
      <c r="L4" s="227" t="s">
        <v>546</v>
      </c>
      <c r="M4" s="227"/>
      <c r="N4" s="227"/>
      <c r="O4" s="227"/>
    </row>
    <row r="5" spans="2:17" x14ac:dyDescent="0.25">
      <c r="B5" s="228" t="s">
        <v>2</v>
      </c>
      <c r="C5" s="228"/>
      <c r="D5" s="228"/>
      <c r="Q5" s="88" t="s">
        <v>3</v>
      </c>
    </row>
    <row r="6" spans="2:17" ht="15.75" x14ac:dyDescent="0.25">
      <c r="B6" s="216" t="s">
        <v>4</v>
      </c>
      <c r="C6" s="216" t="s">
        <v>5</v>
      </c>
      <c r="D6" s="216" t="s">
        <v>6</v>
      </c>
      <c r="E6" s="216" t="s">
        <v>7</v>
      </c>
      <c r="F6" s="216" t="s">
        <v>8</v>
      </c>
      <c r="G6" s="216" t="s">
        <v>9</v>
      </c>
      <c r="H6" s="216" t="s">
        <v>10</v>
      </c>
      <c r="I6" s="216" t="s">
        <v>11</v>
      </c>
      <c r="J6" s="214" t="s">
        <v>12</v>
      </c>
      <c r="K6" s="214"/>
      <c r="L6" s="214"/>
      <c r="M6" s="214"/>
      <c r="N6" s="214"/>
      <c r="O6" s="226" t="s">
        <v>13</v>
      </c>
    </row>
    <row r="7" spans="2:17" ht="15.75" x14ac:dyDescent="0.25">
      <c r="B7" s="216"/>
      <c r="C7" s="216"/>
      <c r="D7" s="216"/>
      <c r="E7" s="216"/>
      <c r="F7" s="216"/>
      <c r="G7" s="216"/>
      <c r="H7" s="216"/>
      <c r="I7" s="216"/>
      <c r="J7" s="211" t="s">
        <v>14</v>
      </c>
      <c r="K7" s="211"/>
      <c r="L7" s="212" t="s">
        <v>15</v>
      </c>
      <c r="M7" s="212"/>
      <c r="N7" s="91" t="s">
        <v>16</v>
      </c>
      <c r="O7" s="226"/>
    </row>
    <row r="8" spans="2:17" ht="15.75" x14ac:dyDescent="0.25">
      <c r="B8" s="91"/>
      <c r="C8" s="91"/>
      <c r="D8" s="91"/>
      <c r="E8" s="91"/>
      <c r="F8" s="91"/>
      <c r="G8" s="91"/>
      <c r="H8" s="91"/>
      <c r="I8" s="91"/>
      <c r="J8" s="93" t="s">
        <v>17</v>
      </c>
      <c r="K8" s="93" t="s">
        <v>18</v>
      </c>
      <c r="L8" s="94" t="s">
        <v>17</v>
      </c>
      <c r="M8" s="94" t="s">
        <v>18</v>
      </c>
      <c r="N8" s="91"/>
      <c r="O8" s="92"/>
    </row>
    <row r="9" spans="2:17" x14ac:dyDescent="0.25">
      <c r="B9" s="95">
        <v>1</v>
      </c>
      <c r="C9" s="96" t="s">
        <v>19</v>
      </c>
      <c r="D9" s="97" t="s">
        <v>547</v>
      </c>
      <c r="E9" s="98" t="s">
        <v>548</v>
      </c>
      <c r="F9" s="99" t="s">
        <v>549</v>
      </c>
      <c r="G9" s="100">
        <v>46153</v>
      </c>
      <c r="H9" s="100">
        <v>46165</v>
      </c>
      <c r="I9" s="101">
        <v>445300</v>
      </c>
      <c r="J9" s="102">
        <f>I9</f>
        <v>445300</v>
      </c>
      <c r="K9" s="103"/>
      <c r="L9" s="104"/>
      <c r="M9" s="104"/>
      <c r="N9" s="105"/>
      <c r="O9" s="105"/>
    </row>
    <row r="10" spans="2:17" x14ac:dyDescent="0.25">
      <c r="B10" s="95">
        <v>2</v>
      </c>
      <c r="C10" s="96"/>
      <c r="D10" s="97" t="s">
        <v>550</v>
      </c>
      <c r="E10" s="98" t="s">
        <v>551</v>
      </c>
      <c r="F10" s="99" t="s">
        <v>552</v>
      </c>
      <c r="G10" s="100">
        <v>46153</v>
      </c>
      <c r="H10" s="100">
        <v>46165</v>
      </c>
      <c r="I10" s="101">
        <v>1226500</v>
      </c>
      <c r="J10" s="102">
        <f t="shared" ref="J10:J12" si="0">I10</f>
        <v>1226500</v>
      </c>
      <c r="K10" s="103"/>
      <c r="L10" s="104"/>
      <c r="M10" s="104"/>
      <c r="N10" s="105"/>
      <c r="O10" s="105"/>
    </row>
    <row r="11" spans="2:17" x14ac:dyDescent="0.25">
      <c r="B11" s="95">
        <v>3</v>
      </c>
      <c r="C11" s="96"/>
      <c r="D11" s="97" t="s">
        <v>553</v>
      </c>
      <c r="E11" s="98" t="s">
        <v>554</v>
      </c>
      <c r="F11" s="99" t="s">
        <v>552</v>
      </c>
      <c r="G11" s="100">
        <v>46167</v>
      </c>
      <c r="H11" s="100">
        <v>46179</v>
      </c>
      <c r="I11" s="101">
        <v>328700</v>
      </c>
      <c r="J11" s="102">
        <f t="shared" si="0"/>
        <v>328700</v>
      </c>
      <c r="K11" s="103"/>
      <c r="L11" s="104"/>
      <c r="M11" s="104"/>
      <c r="N11" s="105"/>
      <c r="O11" s="105"/>
    </row>
    <row r="12" spans="2:17" x14ac:dyDescent="0.25">
      <c r="B12" s="95">
        <v>4</v>
      </c>
      <c r="C12" s="96"/>
      <c r="D12" s="97" t="s">
        <v>555</v>
      </c>
      <c r="E12" s="98" t="s">
        <v>556</v>
      </c>
      <c r="F12" s="99" t="s">
        <v>557</v>
      </c>
      <c r="G12" s="100">
        <v>46167</v>
      </c>
      <c r="H12" s="100">
        <v>46179</v>
      </c>
      <c r="I12" s="101">
        <v>645300</v>
      </c>
      <c r="J12" s="102">
        <f t="shared" si="0"/>
        <v>645300</v>
      </c>
      <c r="K12" s="103"/>
      <c r="L12" s="104"/>
      <c r="M12" s="104"/>
      <c r="N12" s="105"/>
      <c r="O12" s="105"/>
    </row>
    <row r="13" spans="2:17" x14ac:dyDescent="0.25">
      <c r="B13" s="95">
        <v>5</v>
      </c>
      <c r="C13" s="96"/>
      <c r="D13" s="97" t="s">
        <v>558</v>
      </c>
      <c r="E13" s="98" t="s">
        <v>548</v>
      </c>
      <c r="F13" s="99" t="s">
        <v>549</v>
      </c>
      <c r="G13" s="100">
        <v>46153</v>
      </c>
      <c r="H13" s="100">
        <v>46165</v>
      </c>
      <c r="I13" s="101">
        <v>160656</v>
      </c>
      <c r="J13" s="102"/>
      <c r="K13" s="103"/>
      <c r="L13" s="104">
        <f>I13</f>
        <v>160656</v>
      </c>
      <c r="M13" s="104"/>
      <c r="N13" s="105"/>
      <c r="O13" s="105"/>
    </row>
    <row r="14" spans="2:17" x14ac:dyDescent="0.25">
      <c r="B14" s="95">
        <v>6</v>
      </c>
      <c r="C14" s="96"/>
      <c r="D14" s="97" t="s">
        <v>559</v>
      </c>
      <c r="E14" s="98" t="s">
        <v>551</v>
      </c>
      <c r="F14" s="99" t="s">
        <v>552</v>
      </c>
      <c r="G14" s="100">
        <v>46153</v>
      </c>
      <c r="H14" s="100">
        <v>46165</v>
      </c>
      <c r="I14" s="101">
        <v>526980</v>
      </c>
      <c r="J14" s="102"/>
      <c r="K14" s="103"/>
      <c r="L14" s="104">
        <f t="shared" ref="L14:L15" si="1">I14</f>
        <v>526980</v>
      </c>
      <c r="M14" s="104"/>
      <c r="N14" s="105"/>
      <c r="O14" s="105"/>
    </row>
    <row r="15" spans="2:17" x14ac:dyDescent="0.25">
      <c r="B15" s="95">
        <v>7</v>
      </c>
      <c r="C15" s="96"/>
      <c r="D15" s="97" t="s">
        <v>560</v>
      </c>
      <c r="E15" s="98" t="s">
        <v>561</v>
      </c>
      <c r="F15" s="99" t="s">
        <v>562</v>
      </c>
      <c r="G15" s="100">
        <v>46167</v>
      </c>
      <c r="H15" s="100">
        <v>46179</v>
      </c>
      <c r="I15" s="101">
        <v>305280</v>
      </c>
      <c r="J15" s="102"/>
      <c r="K15" s="103"/>
      <c r="L15" s="104">
        <f t="shared" si="1"/>
        <v>305280</v>
      </c>
      <c r="M15" s="104"/>
      <c r="N15" s="105"/>
      <c r="O15" s="105"/>
    </row>
    <row r="16" spans="2:17" x14ac:dyDescent="0.25">
      <c r="B16" s="95">
        <v>8</v>
      </c>
      <c r="C16" s="96"/>
      <c r="D16" s="97" t="s">
        <v>563</v>
      </c>
      <c r="E16" s="98" t="s">
        <v>554</v>
      </c>
      <c r="F16" s="99" t="s">
        <v>552</v>
      </c>
      <c r="G16" s="100">
        <v>46167</v>
      </c>
      <c r="H16" s="100">
        <v>46179</v>
      </c>
      <c r="I16" s="101">
        <v>253684</v>
      </c>
      <c r="J16" s="102"/>
      <c r="K16" s="103"/>
      <c r="L16" s="104">
        <f>I16</f>
        <v>253684</v>
      </c>
      <c r="M16" s="104"/>
      <c r="N16" s="105"/>
      <c r="O16" s="105"/>
    </row>
    <row r="17" spans="2:15" x14ac:dyDescent="0.25">
      <c r="B17" s="95">
        <v>9</v>
      </c>
      <c r="C17" s="96"/>
      <c r="D17" s="97" t="s">
        <v>564</v>
      </c>
      <c r="E17" s="98" t="s">
        <v>556</v>
      </c>
      <c r="F17" s="99" t="s">
        <v>557</v>
      </c>
      <c r="G17" s="100">
        <v>46167</v>
      </c>
      <c r="H17" s="100">
        <v>46179</v>
      </c>
      <c r="I17" s="101">
        <v>117140</v>
      </c>
      <c r="J17" s="102"/>
      <c r="K17" s="103"/>
      <c r="L17" s="104">
        <f t="shared" ref="L17:L18" si="2">I17</f>
        <v>117140</v>
      </c>
      <c r="M17" s="104"/>
      <c r="N17" s="105"/>
      <c r="O17" s="105"/>
    </row>
    <row r="18" spans="2:15" x14ac:dyDescent="0.25">
      <c r="B18" s="95">
        <v>10</v>
      </c>
      <c r="C18" s="96"/>
      <c r="D18" s="97" t="s">
        <v>565</v>
      </c>
      <c r="E18" s="98" t="s">
        <v>566</v>
      </c>
      <c r="F18" s="99" t="s">
        <v>135</v>
      </c>
      <c r="G18" s="100">
        <v>46167</v>
      </c>
      <c r="H18" s="100">
        <v>46179</v>
      </c>
      <c r="I18" s="101">
        <v>2822400</v>
      </c>
      <c r="J18" s="102"/>
      <c r="K18" s="103"/>
      <c r="L18" s="104">
        <f t="shared" si="2"/>
        <v>2822400</v>
      </c>
      <c r="M18" s="104"/>
      <c r="N18" s="105"/>
      <c r="O18" s="105"/>
    </row>
    <row r="19" spans="2:15" ht="15.75" x14ac:dyDescent="0.25">
      <c r="B19" s="214" t="s">
        <v>13</v>
      </c>
      <c r="C19" s="214"/>
      <c r="D19" s="214"/>
      <c r="E19" s="214"/>
      <c r="F19" s="214"/>
      <c r="G19" s="214"/>
      <c r="H19" s="214"/>
      <c r="I19" s="214"/>
      <c r="J19" s="106">
        <f>SUM(J9:J18)</f>
        <v>2645800</v>
      </c>
      <c r="K19" s="107">
        <f>SUM(K9:K18)</f>
        <v>0</v>
      </c>
      <c r="L19" s="108">
        <f>SUM(L9:L18)</f>
        <v>4186140</v>
      </c>
      <c r="M19" s="108">
        <f>SUM(M9:M18)</f>
        <v>0</v>
      </c>
      <c r="N19" s="109"/>
      <c r="O19" s="110">
        <f>SUM(J19+K19+L19+M19)</f>
        <v>6831940</v>
      </c>
    </row>
    <row r="20" spans="2:15" ht="15.75" x14ac:dyDescent="0.25"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</row>
    <row r="21" spans="2:15" x14ac:dyDescent="0.25">
      <c r="B21" s="95">
        <v>1</v>
      </c>
      <c r="C21" s="111" t="s">
        <v>20</v>
      </c>
      <c r="D21" s="97" t="s">
        <v>568</v>
      </c>
      <c r="E21" s="112" t="s">
        <v>569</v>
      </c>
      <c r="F21" s="113" t="s">
        <v>570</v>
      </c>
      <c r="G21" s="114">
        <v>46157</v>
      </c>
      <c r="H21" s="114">
        <v>46169</v>
      </c>
      <c r="I21" s="115">
        <v>572500</v>
      </c>
      <c r="J21" s="116">
        <f t="shared" ref="J21:J25" si="3">I21</f>
        <v>572500</v>
      </c>
      <c r="K21" s="103"/>
      <c r="L21" s="104"/>
      <c r="M21" s="104"/>
      <c r="N21" s="105" t="s">
        <v>155</v>
      </c>
      <c r="O21" s="105"/>
    </row>
    <row r="22" spans="2:15" x14ac:dyDescent="0.25">
      <c r="B22" s="95">
        <v>2</v>
      </c>
      <c r="C22" s="111"/>
      <c r="D22" s="97" t="s">
        <v>571</v>
      </c>
      <c r="E22" s="112" t="s">
        <v>572</v>
      </c>
      <c r="F22" s="113" t="s">
        <v>573</v>
      </c>
      <c r="G22" s="114">
        <v>46165</v>
      </c>
      <c r="H22" s="114">
        <v>46177</v>
      </c>
      <c r="I22" s="115">
        <v>430200</v>
      </c>
      <c r="J22" s="116">
        <f t="shared" si="3"/>
        <v>430200</v>
      </c>
      <c r="K22" s="103"/>
      <c r="L22" s="104"/>
      <c r="M22" s="104"/>
      <c r="N22" s="105" t="s">
        <v>155</v>
      </c>
      <c r="O22" s="105"/>
    </row>
    <row r="23" spans="2:15" x14ac:dyDescent="0.25">
      <c r="B23" s="95">
        <v>3</v>
      </c>
      <c r="C23" s="111"/>
      <c r="D23" s="97" t="s">
        <v>574</v>
      </c>
      <c r="E23" s="112" t="s">
        <v>575</v>
      </c>
      <c r="F23" s="113" t="s">
        <v>576</v>
      </c>
      <c r="G23" s="114">
        <v>46167</v>
      </c>
      <c r="H23" s="114">
        <v>46179</v>
      </c>
      <c r="I23" s="115">
        <v>758900</v>
      </c>
      <c r="J23" s="116">
        <f t="shared" si="3"/>
        <v>758900</v>
      </c>
      <c r="K23" s="103"/>
      <c r="L23" s="104"/>
      <c r="M23" s="104"/>
      <c r="N23" s="105" t="s">
        <v>155</v>
      </c>
      <c r="O23" s="105"/>
    </row>
    <row r="24" spans="2:15" x14ac:dyDescent="0.25">
      <c r="B24" s="95">
        <v>4</v>
      </c>
      <c r="C24" s="111"/>
      <c r="D24" s="97" t="s">
        <v>577</v>
      </c>
      <c r="E24" s="112" t="s">
        <v>578</v>
      </c>
      <c r="F24" s="113" t="s">
        <v>576</v>
      </c>
      <c r="G24" s="114">
        <v>46167</v>
      </c>
      <c r="H24" s="114">
        <v>46179</v>
      </c>
      <c r="I24" s="115">
        <v>430200</v>
      </c>
      <c r="J24" s="116">
        <f t="shared" si="3"/>
        <v>430200</v>
      </c>
      <c r="K24" s="103"/>
      <c r="L24" s="104"/>
      <c r="M24" s="104"/>
      <c r="N24" s="105" t="s">
        <v>155</v>
      </c>
      <c r="O24" s="105"/>
    </row>
    <row r="25" spans="2:15" x14ac:dyDescent="0.25">
      <c r="B25" s="95">
        <v>5</v>
      </c>
      <c r="C25" s="111"/>
      <c r="D25" s="97" t="s">
        <v>582</v>
      </c>
      <c r="E25" s="112" t="s">
        <v>583</v>
      </c>
      <c r="F25" s="113" t="s">
        <v>581</v>
      </c>
      <c r="G25" s="114">
        <v>46167</v>
      </c>
      <c r="H25" s="114">
        <v>46179</v>
      </c>
      <c r="I25" s="115">
        <v>227200</v>
      </c>
      <c r="J25" s="116">
        <f t="shared" si="3"/>
        <v>227200</v>
      </c>
      <c r="K25" s="103"/>
      <c r="L25" s="104"/>
      <c r="M25" s="104"/>
      <c r="N25" s="105" t="s">
        <v>155</v>
      </c>
      <c r="O25" s="105"/>
    </row>
    <row r="26" spans="2:15" x14ac:dyDescent="0.25">
      <c r="B26" s="95">
        <v>6</v>
      </c>
      <c r="C26" s="111"/>
      <c r="D26" s="97" t="s">
        <v>584</v>
      </c>
      <c r="E26" s="112" t="s">
        <v>585</v>
      </c>
      <c r="F26" s="113" t="s">
        <v>586</v>
      </c>
      <c r="G26" s="114">
        <v>46167</v>
      </c>
      <c r="H26" s="114">
        <v>46179</v>
      </c>
      <c r="I26" s="115">
        <v>3287000</v>
      </c>
      <c r="J26" s="116"/>
      <c r="K26" s="103">
        <v>3287000</v>
      </c>
      <c r="L26" s="104"/>
      <c r="M26" s="104"/>
      <c r="N26" s="105" t="s">
        <v>155</v>
      </c>
      <c r="O26" s="105"/>
    </row>
    <row r="27" spans="2:15" x14ac:dyDescent="0.25">
      <c r="B27" s="95">
        <v>7</v>
      </c>
      <c r="C27" s="111"/>
      <c r="D27" s="97" t="s">
        <v>587</v>
      </c>
      <c r="E27" s="112" t="s">
        <v>579</v>
      </c>
      <c r="F27" s="113" t="s">
        <v>580</v>
      </c>
      <c r="G27" s="114">
        <v>46153</v>
      </c>
      <c r="H27" s="114">
        <v>46165</v>
      </c>
      <c r="I27" s="115">
        <v>260000</v>
      </c>
      <c r="J27" s="116"/>
      <c r="K27" s="103"/>
      <c r="L27" s="104">
        <f>I27</f>
        <v>260000</v>
      </c>
      <c r="M27" s="104"/>
      <c r="N27" s="105" t="s">
        <v>155</v>
      </c>
      <c r="O27" s="105"/>
    </row>
    <row r="28" spans="2:15" x14ac:dyDescent="0.25">
      <c r="B28" s="95">
        <v>8</v>
      </c>
      <c r="C28" s="111"/>
      <c r="D28" s="97" t="s">
        <v>588</v>
      </c>
      <c r="E28" s="112" t="s">
        <v>589</v>
      </c>
      <c r="F28" s="113" t="s">
        <v>576</v>
      </c>
      <c r="G28" s="114">
        <v>46165</v>
      </c>
      <c r="H28" s="114">
        <v>46177</v>
      </c>
      <c r="I28" s="115">
        <v>435000</v>
      </c>
      <c r="J28" s="116"/>
      <c r="K28" s="103"/>
      <c r="L28" s="104">
        <f t="shared" ref="L28:L31" si="4">I28</f>
        <v>435000</v>
      </c>
      <c r="M28" s="104"/>
      <c r="N28" s="105" t="s">
        <v>155</v>
      </c>
      <c r="O28" s="105"/>
    </row>
    <row r="29" spans="2:15" x14ac:dyDescent="0.25">
      <c r="B29" s="95">
        <v>9</v>
      </c>
      <c r="C29" s="111"/>
      <c r="D29" s="97" t="s">
        <v>590</v>
      </c>
      <c r="E29" s="112" t="s">
        <v>356</v>
      </c>
      <c r="F29" s="113" t="s">
        <v>352</v>
      </c>
      <c r="G29" s="114">
        <v>46167</v>
      </c>
      <c r="H29" s="114">
        <v>46179</v>
      </c>
      <c r="I29" s="115">
        <v>360000</v>
      </c>
      <c r="J29" s="116"/>
      <c r="K29" s="103"/>
      <c r="L29" s="104">
        <v>160000</v>
      </c>
      <c r="M29" s="104"/>
      <c r="N29" s="105" t="s">
        <v>158</v>
      </c>
      <c r="O29" s="105"/>
    </row>
    <row r="30" spans="2:15" x14ac:dyDescent="0.25">
      <c r="B30" s="95">
        <v>10</v>
      </c>
      <c r="C30" s="111"/>
      <c r="D30" s="97" t="s">
        <v>591</v>
      </c>
      <c r="E30" s="112" t="s">
        <v>592</v>
      </c>
      <c r="F30" s="113" t="s">
        <v>567</v>
      </c>
      <c r="G30" s="114">
        <v>46167</v>
      </c>
      <c r="H30" s="114">
        <v>46179</v>
      </c>
      <c r="I30" s="115">
        <v>1335490</v>
      </c>
      <c r="J30" s="116"/>
      <c r="K30" s="103"/>
      <c r="L30" s="104">
        <f t="shared" si="4"/>
        <v>1335490</v>
      </c>
      <c r="M30" s="104"/>
      <c r="N30" s="105" t="s">
        <v>155</v>
      </c>
      <c r="O30" s="105"/>
    </row>
    <row r="31" spans="2:15" x14ac:dyDescent="0.25">
      <c r="B31" s="95">
        <v>11</v>
      </c>
      <c r="C31" s="111"/>
      <c r="D31" s="97" t="s">
        <v>593</v>
      </c>
      <c r="E31" s="112" t="s">
        <v>594</v>
      </c>
      <c r="F31" s="113" t="s">
        <v>595</v>
      </c>
      <c r="G31" s="114">
        <v>46167</v>
      </c>
      <c r="H31" s="114">
        <v>46179</v>
      </c>
      <c r="I31" s="115">
        <v>1656000</v>
      </c>
      <c r="J31" s="116"/>
      <c r="K31" s="103"/>
      <c r="L31" s="104">
        <f t="shared" si="4"/>
        <v>1656000</v>
      </c>
      <c r="M31" s="104"/>
      <c r="N31" s="105" t="s">
        <v>155</v>
      </c>
      <c r="O31" s="105"/>
    </row>
    <row r="32" spans="2:15" ht="15.75" x14ac:dyDescent="0.25">
      <c r="B32" s="214" t="s">
        <v>13</v>
      </c>
      <c r="C32" s="214"/>
      <c r="D32" s="214"/>
      <c r="E32" s="214"/>
      <c r="F32" s="214"/>
      <c r="G32" s="214"/>
      <c r="H32" s="214"/>
      <c r="I32" s="214"/>
      <c r="J32" s="106">
        <f>SUM(J21:J31)</f>
        <v>2419000</v>
      </c>
      <c r="K32" s="107">
        <f>SUM(K21:K31)</f>
        <v>3287000</v>
      </c>
      <c r="L32" s="108">
        <f>SUM(L21:L31)</f>
        <v>3846490</v>
      </c>
      <c r="M32" s="108">
        <f>SUM(M21:M31)</f>
        <v>0</v>
      </c>
      <c r="N32" s="109"/>
      <c r="O32" s="117">
        <f>SUM(J32+K32+L32+M32)</f>
        <v>9552490</v>
      </c>
    </row>
    <row r="33" spans="2:15" ht="15.75" x14ac:dyDescent="0.25"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</row>
    <row r="34" spans="2:15" ht="15.75" x14ac:dyDescent="0.25">
      <c r="B34" s="118">
        <v>1</v>
      </c>
      <c r="C34" s="96" t="s">
        <v>21</v>
      </c>
      <c r="D34" s="119" t="s">
        <v>596</v>
      </c>
      <c r="E34" s="120" t="s">
        <v>597</v>
      </c>
      <c r="F34" s="120" t="s">
        <v>598</v>
      </c>
      <c r="G34" s="121">
        <v>46153</v>
      </c>
      <c r="H34" s="121">
        <v>46165</v>
      </c>
      <c r="I34" s="122">
        <v>215100</v>
      </c>
      <c r="J34" s="123">
        <f>I34</f>
        <v>215100</v>
      </c>
      <c r="K34" s="124"/>
      <c r="L34" s="125"/>
      <c r="M34" s="125"/>
      <c r="N34" s="105" t="s">
        <v>155</v>
      </c>
      <c r="O34" s="118"/>
    </row>
    <row r="35" spans="2:15" ht="15.75" x14ac:dyDescent="0.25">
      <c r="B35" s="118">
        <v>2</v>
      </c>
      <c r="C35" s="96"/>
      <c r="D35" s="119" t="s">
        <v>599</v>
      </c>
      <c r="E35" s="120" t="s">
        <v>600</v>
      </c>
      <c r="F35" s="120" t="s">
        <v>601</v>
      </c>
      <c r="G35" s="121">
        <v>46156</v>
      </c>
      <c r="H35" s="121">
        <v>46168</v>
      </c>
      <c r="I35" s="122">
        <v>872500</v>
      </c>
      <c r="J35" s="123">
        <f t="shared" ref="J35:J42" si="5">I35</f>
        <v>872500</v>
      </c>
      <c r="K35" s="124"/>
      <c r="L35" s="125"/>
      <c r="M35" s="125"/>
      <c r="N35" s="105" t="s">
        <v>155</v>
      </c>
      <c r="O35" s="118"/>
    </row>
    <row r="36" spans="2:15" ht="15.75" x14ac:dyDescent="0.25">
      <c r="B36" s="118">
        <v>3</v>
      </c>
      <c r="C36" s="96"/>
      <c r="D36" s="119" t="s">
        <v>505</v>
      </c>
      <c r="E36" s="120" t="s">
        <v>506</v>
      </c>
      <c r="F36" s="120" t="s">
        <v>504</v>
      </c>
      <c r="G36" s="121">
        <v>46165</v>
      </c>
      <c r="H36" s="121">
        <v>46177</v>
      </c>
      <c r="I36" s="122">
        <v>115100</v>
      </c>
      <c r="J36" s="123">
        <f t="shared" si="5"/>
        <v>115100</v>
      </c>
      <c r="K36" s="124"/>
      <c r="L36" s="125"/>
      <c r="M36" s="125"/>
      <c r="N36" s="105" t="s">
        <v>155</v>
      </c>
      <c r="O36" s="118"/>
    </row>
    <row r="37" spans="2:15" ht="15.75" x14ac:dyDescent="0.25">
      <c r="B37" s="118">
        <v>4</v>
      </c>
      <c r="C37" s="96"/>
      <c r="D37" s="119" t="s">
        <v>602</v>
      </c>
      <c r="E37" s="120" t="s">
        <v>603</v>
      </c>
      <c r="F37" s="120" t="s">
        <v>504</v>
      </c>
      <c r="G37" s="121">
        <v>46165</v>
      </c>
      <c r="H37" s="121">
        <v>46177</v>
      </c>
      <c r="I37" s="122">
        <v>758900</v>
      </c>
      <c r="J37" s="123">
        <f t="shared" si="5"/>
        <v>758900</v>
      </c>
      <c r="K37" s="124"/>
      <c r="L37" s="125"/>
      <c r="M37" s="125"/>
      <c r="N37" s="105" t="s">
        <v>155</v>
      </c>
      <c r="O37" s="118"/>
    </row>
    <row r="38" spans="2:15" ht="15.75" x14ac:dyDescent="0.25">
      <c r="B38" s="118">
        <v>5</v>
      </c>
      <c r="C38" s="96"/>
      <c r="D38" s="119" t="s">
        <v>604</v>
      </c>
      <c r="E38" s="120" t="s">
        <v>605</v>
      </c>
      <c r="F38" s="120" t="s">
        <v>98</v>
      </c>
      <c r="G38" s="121">
        <v>46167</v>
      </c>
      <c r="H38" s="121">
        <v>46179</v>
      </c>
      <c r="I38" s="122">
        <v>340800</v>
      </c>
      <c r="J38" s="123">
        <f t="shared" si="5"/>
        <v>340800</v>
      </c>
      <c r="K38" s="124"/>
      <c r="L38" s="125"/>
      <c r="M38" s="125"/>
      <c r="N38" s="105" t="s">
        <v>155</v>
      </c>
      <c r="O38" s="118"/>
    </row>
    <row r="39" spans="2:15" ht="15.75" x14ac:dyDescent="0.25">
      <c r="B39" s="118">
        <v>6</v>
      </c>
      <c r="C39" s="96"/>
      <c r="D39" s="119" t="s">
        <v>606</v>
      </c>
      <c r="E39" s="120" t="s">
        <v>607</v>
      </c>
      <c r="F39" s="120" t="s">
        <v>608</v>
      </c>
      <c r="G39" s="121">
        <v>46167</v>
      </c>
      <c r="H39" s="121">
        <v>46179</v>
      </c>
      <c r="I39" s="122">
        <v>1302700</v>
      </c>
      <c r="J39" s="123">
        <v>802700</v>
      </c>
      <c r="K39" s="124"/>
      <c r="L39" s="125"/>
      <c r="M39" s="125"/>
      <c r="N39" s="105" t="s">
        <v>158</v>
      </c>
      <c r="O39" s="118"/>
    </row>
    <row r="40" spans="2:15" ht="15.75" x14ac:dyDescent="0.25">
      <c r="B40" s="118">
        <v>7</v>
      </c>
      <c r="C40" s="96"/>
      <c r="D40" s="119" t="s">
        <v>609</v>
      </c>
      <c r="E40" s="120" t="s">
        <v>610</v>
      </c>
      <c r="F40" s="120" t="s">
        <v>611</v>
      </c>
      <c r="G40" s="121">
        <v>46167</v>
      </c>
      <c r="H40" s="121">
        <v>46179</v>
      </c>
      <c r="I40" s="122">
        <v>454400</v>
      </c>
      <c r="J40" s="123">
        <f t="shared" si="5"/>
        <v>454400</v>
      </c>
      <c r="K40" s="124"/>
      <c r="L40" s="126"/>
      <c r="M40" s="126"/>
      <c r="N40" s="105" t="s">
        <v>155</v>
      </c>
      <c r="O40" s="118"/>
    </row>
    <row r="41" spans="2:15" ht="15.75" x14ac:dyDescent="0.25">
      <c r="B41" s="118">
        <v>8</v>
      </c>
      <c r="C41" s="96"/>
      <c r="D41" s="119" t="s">
        <v>612</v>
      </c>
      <c r="E41" s="120" t="s">
        <v>613</v>
      </c>
      <c r="F41" s="120" t="s">
        <v>614</v>
      </c>
      <c r="G41" s="121">
        <v>46167</v>
      </c>
      <c r="H41" s="121">
        <v>46179</v>
      </c>
      <c r="I41" s="122">
        <v>215100</v>
      </c>
      <c r="J41" s="123">
        <f t="shared" si="5"/>
        <v>215100</v>
      </c>
      <c r="K41" s="124"/>
      <c r="L41" s="126"/>
      <c r="M41" s="126"/>
      <c r="N41" s="105" t="s">
        <v>155</v>
      </c>
      <c r="O41" s="118"/>
    </row>
    <row r="42" spans="2:15" ht="15.75" x14ac:dyDescent="0.25">
      <c r="B42" s="118">
        <v>9</v>
      </c>
      <c r="C42" s="118"/>
      <c r="D42" s="119" t="s">
        <v>615</v>
      </c>
      <c r="E42" s="120" t="s">
        <v>616</v>
      </c>
      <c r="F42" s="120" t="s">
        <v>614</v>
      </c>
      <c r="G42" s="121">
        <v>46167</v>
      </c>
      <c r="H42" s="121">
        <v>46179</v>
      </c>
      <c r="I42" s="122">
        <v>113600</v>
      </c>
      <c r="J42" s="123">
        <f t="shared" si="5"/>
        <v>113600</v>
      </c>
      <c r="K42" s="124"/>
      <c r="L42" s="126"/>
      <c r="M42" s="126"/>
      <c r="N42" s="105" t="s">
        <v>155</v>
      </c>
      <c r="O42" s="118"/>
    </row>
    <row r="43" spans="2:15" ht="15.75" x14ac:dyDescent="0.25">
      <c r="B43" s="118">
        <v>10</v>
      </c>
      <c r="C43" s="118"/>
      <c r="D43" s="119" t="s">
        <v>617</v>
      </c>
      <c r="E43" s="120" t="s">
        <v>597</v>
      </c>
      <c r="F43" s="120" t="s">
        <v>598</v>
      </c>
      <c r="G43" s="121">
        <v>46153</v>
      </c>
      <c r="H43" s="121">
        <v>46165</v>
      </c>
      <c r="I43" s="122">
        <v>68556</v>
      </c>
      <c r="J43" s="123"/>
      <c r="K43" s="124"/>
      <c r="L43" s="126">
        <f>I43</f>
        <v>68556</v>
      </c>
      <c r="M43" s="126"/>
      <c r="N43" s="105" t="s">
        <v>155</v>
      </c>
      <c r="O43" s="118"/>
    </row>
    <row r="44" spans="2:15" ht="15.75" x14ac:dyDescent="0.25">
      <c r="B44" s="118">
        <v>11</v>
      </c>
      <c r="C44" s="118"/>
      <c r="D44" s="119" t="s">
        <v>618</v>
      </c>
      <c r="E44" s="120" t="s">
        <v>600</v>
      </c>
      <c r="F44" s="120" t="s">
        <v>601</v>
      </c>
      <c r="G44" s="121">
        <v>46156</v>
      </c>
      <c r="H44" s="121">
        <v>46168</v>
      </c>
      <c r="I44" s="122">
        <v>203000</v>
      </c>
      <c r="J44" s="123"/>
      <c r="K44" s="124"/>
      <c r="L44" s="126">
        <f t="shared" ref="L44:L45" si="6">I44</f>
        <v>203000</v>
      </c>
      <c r="M44" s="126"/>
      <c r="N44" s="105" t="s">
        <v>155</v>
      </c>
      <c r="O44" s="118"/>
    </row>
    <row r="45" spans="2:15" ht="15.75" x14ac:dyDescent="0.25">
      <c r="B45" s="118">
        <v>12</v>
      </c>
      <c r="C45" s="118"/>
      <c r="D45" s="119" t="s">
        <v>619</v>
      </c>
      <c r="E45" s="120" t="s">
        <v>616</v>
      </c>
      <c r="F45" s="120" t="s">
        <v>614</v>
      </c>
      <c r="G45" s="121">
        <v>46167</v>
      </c>
      <c r="H45" s="121">
        <v>46179</v>
      </c>
      <c r="I45" s="122">
        <v>59000</v>
      </c>
      <c r="J45" s="123"/>
      <c r="K45" s="124"/>
      <c r="L45" s="126">
        <f t="shared" si="6"/>
        <v>59000</v>
      </c>
      <c r="M45" s="126"/>
      <c r="N45" s="105" t="s">
        <v>155</v>
      </c>
      <c r="O45" s="118"/>
    </row>
    <row r="46" spans="2:15" ht="15.75" x14ac:dyDescent="0.25">
      <c r="B46" s="118">
        <v>13</v>
      </c>
      <c r="C46" s="118"/>
      <c r="D46" s="119" t="s">
        <v>620</v>
      </c>
      <c r="E46" s="120" t="s">
        <v>621</v>
      </c>
      <c r="F46" s="120" t="s">
        <v>423</v>
      </c>
      <c r="G46" s="121">
        <v>46167</v>
      </c>
      <c r="H46" s="121">
        <v>46179</v>
      </c>
      <c r="I46" s="122">
        <v>870000</v>
      </c>
      <c r="J46" s="123"/>
      <c r="K46" s="124"/>
      <c r="L46" s="126">
        <v>300000</v>
      </c>
      <c r="M46" s="126"/>
      <c r="N46" s="105" t="s">
        <v>158</v>
      </c>
      <c r="O46" s="118"/>
    </row>
    <row r="47" spans="2:15" ht="15.75" x14ac:dyDescent="0.25">
      <c r="B47" s="214" t="s">
        <v>13</v>
      </c>
      <c r="C47" s="214"/>
      <c r="D47" s="214"/>
      <c r="E47" s="214"/>
      <c r="F47" s="214"/>
      <c r="G47" s="214"/>
      <c r="H47" s="214"/>
      <c r="I47" s="214"/>
      <c r="J47" s="106">
        <f>SUM(J34:J46)</f>
        <v>3888200</v>
      </c>
      <c r="K47" s="127">
        <f>SUM(K34:K46)</f>
        <v>0</v>
      </c>
      <c r="L47" s="128">
        <f>SUM(L34:L46)</f>
        <v>630556</v>
      </c>
      <c r="M47" s="128">
        <f>SUM(M34:M46)</f>
        <v>0</v>
      </c>
      <c r="N47" s="109"/>
      <c r="O47" s="129">
        <f>SUM(J47+K47+L47+M47)</f>
        <v>4518756</v>
      </c>
    </row>
    <row r="48" spans="2:15" x14ac:dyDescent="0.25">
      <c r="D48" s="130"/>
      <c r="I48" s="131"/>
      <c r="J48" s="131"/>
    </row>
    <row r="49" spans="1:15" x14ac:dyDescent="0.25">
      <c r="D49" s="130"/>
      <c r="I49" s="131"/>
      <c r="J49" s="131"/>
    </row>
    <row r="50" spans="1:15" ht="15.75" x14ac:dyDescent="0.25">
      <c r="D50" s="130"/>
      <c r="G50" s="223" t="s">
        <v>22</v>
      </c>
      <c r="H50" s="223"/>
      <c r="I50" s="223"/>
      <c r="J50" s="132">
        <f>SUM(J47+J32+J19)</f>
        <v>8953000</v>
      </c>
      <c r="K50" s="107">
        <f>SUM(K47+K32+K19)</f>
        <v>3287000</v>
      </c>
      <c r="L50" s="128">
        <f>SUM(L47+L32+L19)</f>
        <v>8663186</v>
      </c>
      <c r="M50" s="128">
        <f>SUM(M47+M32+M19)</f>
        <v>0</v>
      </c>
      <c r="N50" s="109"/>
      <c r="O50" s="110">
        <f>SUM(J50+K50+L50+M50)</f>
        <v>20903186</v>
      </c>
    </row>
    <row r="51" spans="1:15" x14ac:dyDescent="0.25">
      <c r="D51" s="130"/>
      <c r="I51" s="131"/>
      <c r="J51" s="131"/>
    </row>
    <row r="52" spans="1:15" x14ac:dyDescent="0.25">
      <c r="B52" s="224" t="s">
        <v>17</v>
      </c>
      <c r="C52" s="224"/>
      <c r="D52" s="224"/>
      <c r="I52" s="131"/>
      <c r="J52" s="131"/>
    </row>
    <row r="53" spans="1:15" ht="15.75" x14ac:dyDescent="0.25">
      <c r="B53" s="216" t="s">
        <v>4</v>
      </c>
      <c r="C53" s="225" t="s">
        <v>23</v>
      </c>
      <c r="D53" s="216" t="s">
        <v>6</v>
      </c>
      <c r="E53" s="216" t="s">
        <v>7</v>
      </c>
      <c r="F53" s="216" t="s">
        <v>8</v>
      </c>
      <c r="G53" s="216" t="s">
        <v>9</v>
      </c>
      <c r="H53" s="216" t="s">
        <v>10</v>
      </c>
      <c r="I53" s="225" t="s">
        <v>24</v>
      </c>
      <c r="J53" s="214" t="s">
        <v>12</v>
      </c>
      <c r="K53" s="214"/>
      <c r="L53" s="214"/>
      <c r="M53" s="214"/>
      <c r="N53" s="214"/>
      <c r="O53" s="226" t="s">
        <v>13</v>
      </c>
    </row>
    <row r="54" spans="1:15" ht="15.75" x14ac:dyDescent="0.25">
      <c r="B54" s="216"/>
      <c r="C54" s="225"/>
      <c r="D54" s="216"/>
      <c r="E54" s="216"/>
      <c r="F54" s="216"/>
      <c r="G54" s="216"/>
      <c r="H54" s="216"/>
      <c r="I54" s="225"/>
      <c r="J54" s="211" t="s">
        <v>14</v>
      </c>
      <c r="K54" s="211"/>
      <c r="L54" s="212" t="s">
        <v>15</v>
      </c>
      <c r="M54" s="212"/>
      <c r="N54" s="91" t="s">
        <v>16</v>
      </c>
      <c r="O54" s="226"/>
    </row>
    <row r="55" spans="1:15" ht="15.75" x14ac:dyDescent="0.25">
      <c r="B55" s="91"/>
      <c r="C55" s="133"/>
      <c r="D55" s="91"/>
      <c r="E55" s="91"/>
      <c r="F55" s="91"/>
      <c r="G55" s="91"/>
      <c r="H55" s="91"/>
      <c r="I55" s="133"/>
      <c r="J55" s="134" t="s">
        <v>17</v>
      </c>
      <c r="K55" s="93" t="s">
        <v>18</v>
      </c>
      <c r="L55" s="94" t="s">
        <v>17</v>
      </c>
      <c r="M55" s="94" t="s">
        <v>18</v>
      </c>
      <c r="N55" s="91"/>
      <c r="O55" s="92"/>
    </row>
    <row r="56" spans="1:15" ht="15" customHeight="1" x14ac:dyDescent="0.25">
      <c r="B56" s="119">
        <v>1</v>
      </c>
      <c r="C56" s="96" t="s">
        <v>154</v>
      </c>
      <c r="D56" s="135" t="s">
        <v>622</v>
      </c>
      <c r="E56" s="136" t="s">
        <v>623</v>
      </c>
      <c r="F56" s="136" t="s">
        <v>624</v>
      </c>
      <c r="G56" s="137">
        <v>46179</v>
      </c>
      <c r="H56" s="137"/>
      <c r="I56" s="138">
        <v>430200</v>
      </c>
      <c r="J56" s="116">
        <f>I56</f>
        <v>430200</v>
      </c>
      <c r="K56" s="139"/>
      <c r="L56" s="140"/>
      <c r="M56" s="140"/>
      <c r="N56" s="105" t="s">
        <v>155</v>
      </c>
      <c r="O56" s="136"/>
    </row>
    <row r="57" spans="1:15" ht="15" customHeight="1" x14ac:dyDescent="0.25">
      <c r="B57" s="119">
        <v>2</v>
      </c>
      <c r="C57" s="96" t="s">
        <v>154</v>
      </c>
      <c r="D57" s="135" t="s">
        <v>625</v>
      </c>
      <c r="E57" s="135" t="s">
        <v>626</v>
      </c>
      <c r="F57" s="136" t="s">
        <v>627</v>
      </c>
      <c r="G57" s="137">
        <v>46179</v>
      </c>
      <c r="H57" s="141"/>
      <c r="I57" s="105">
        <v>430200</v>
      </c>
      <c r="J57" s="116">
        <f>I57</f>
        <v>430200</v>
      </c>
      <c r="K57" s="139"/>
      <c r="L57" s="104"/>
      <c r="M57" s="140"/>
      <c r="N57" s="105" t="s">
        <v>155</v>
      </c>
      <c r="O57" s="136"/>
    </row>
    <row r="58" spans="1:15" ht="15" customHeight="1" x14ac:dyDescent="0.25">
      <c r="B58" s="119">
        <v>3</v>
      </c>
      <c r="C58" s="96" t="s">
        <v>154</v>
      </c>
      <c r="D58" s="135" t="s">
        <v>629</v>
      </c>
      <c r="E58" s="135" t="s">
        <v>626</v>
      </c>
      <c r="F58" s="136" t="s">
        <v>627</v>
      </c>
      <c r="G58" s="137">
        <v>46179</v>
      </c>
      <c r="H58" s="141"/>
      <c r="I58" s="105">
        <v>68556</v>
      </c>
      <c r="J58" s="116"/>
      <c r="K58" s="139"/>
      <c r="L58" s="104">
        <f>I58</f>
        <v>68556</v>
      </c>
      <c r="M58" s="140"/>
      <c r="N58" s="105" t="s">
        <v>155</v>
      </c>
      <c r="O58" s="136"/>
    </row>
    <row r="59" spans="1:15" ht="15" customHeight="1" x14ac:dyDescent="0.25">
      <c r="B59" s="119">
        <v>4</v>
      </c>
      <c r="C59" s="96" t="s">
        <v>243</v>
      </c>
      <c r="D59" s="135" t="s">
        <v>630</v>
      </c>
      <c r="E59" s="135" t="s">
        <v>631</v>
      </c>
      <c r="F59" s="136" t="s">
        <v>268</v>
      </c>
      <c r="G59" s="137">
        <v>46179</v>
      </c>
      <c r="H59" s="141"/>
      <c r="I59" s="105">
        <v>860000</v>
      </c>
      <c r="J59" s="116">
        <v>860000</v>
      </c>
      <c r="K59" s="139"/>
      <c r="L59" s="104"/>
      <c r="M59" s="140"/>
      <c r="N59" s="105" t="s">
        <v>155</v>
      </c>
      <c r="O59" s="136"/>
    </row>
    <row r="60" spans="1:15" ht="15.75" x14ac:dyDescent="0.25">
      <c r="B60" s="214" t="s">
        <v>25</v>
      </c>
      <c r="C60" s="214"/>
      <c r="D60" s="214"/>
      <c r="E60" s="214"/>
      <c r="F60" s="214"/>
      <c r="G60" s="214"/>
      <c r="H60" s="214"/>
      <c r="I60" s="214"/>
      <c r="J60" s="106">
        <f>SUM(J56:J59)</f>
        <v>1720400</v>
      </c>
      <c r="K60" s="127">
        <f>SUM(K56:K59)</f>
        <v>0</v>
      </c>
      <c r="L60" s="128">
        <f>SUM(L56:L59)</f>
        <v>68556</v>
      </c>
      <c r="M60" s="128">
        <f>SUM(M56:M59)</f>
        <v>0</v>
      </c>
      <c r="N60" s="109"/>
      <c r="O60" s="129">
        <f>SUM(J60+K60+L60+M60)</f>
        <v>1788956</v>
      </c>
    </row>
    <row r="61" spans="1:15" ht="15.75" x14ac:dyDescent="0.25"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</row>
    <row r="62" spans="1:15" x14ac:dyDescent="0.25">
      <c r="B62" s="119">
        <v>1</v>
      </c>
      <c r="C62" s="96" t="s">
        <v>330</v>
      </c>
      <c r="D62" s="135" t="s">
        <v>622</v>
      </c>
      <c r="E62" s="135" t="s">
        <v>628</v>
      </c>
      <c r="F62" s="136" t="s">
        <v>180</v>
      </c>
      <c r="G62" s="137">
        <v>46179</v>
      </c>
      <c r="H62" s="141"/>
      <c r="I62" s="105">
        <v>215100</v>
      </c>
      <c r="J62" s="103">
        <f>I62</f>
        <v>215100</v>
      </c>
      <c r="K62" s="139"/>
      <c r="L62" s="140"/>
      <c r="M62" s="140"/>
      <c r="N62" s="105" t="s">
        <v>155</v>
      </c>
      <c r="O62" s="136"/>
    </row>
    <row r="63" spans="1:15" x14ac:dyDescent="0.25">
      <c r="B63" s="119">
        <v>2</v>
      </c>
      <c r="C63" s="96"/>
      <c r="D63" s="135"/>
      <c r="E63" s="135"/>
      <c r="F63" s="136"/>
      <c r="G63" s="137"/>
      <c r="H63" s="141"/>
      <c r="I63" s="105"/>
      <c r="J63" s="103"/>
      <c r="K63" s="139"/>
      <c r="L63" s="140"/>
      <c r="M63" s="140"/>
      <c r="N63" s="105"/>
      <c r="O63" s="136"/>
    </row>
    <row r="64" spans="1:15" ht="15.75" x14ac:dyDescent="0.25">
      <c r="A64" s="88" t="s">
        <v>3</v>
      </c>
      <c r="B64" s="214" t="s">
        <v>25</v>
      </c>
      <c r="C64" s="214"/>
      <c r="D64" s="214"/>
      <c r="E64" s="214"/>
      <c r="F64" s="214"/>
      <c r="G64" s="214"/>
      <c r="H64" s="214"/>
      <c r="I64" s="214"/>
      <c r="J64" s="132">
        <f>SUM(J62:J63)</f>
        <v>215100</v>
      </c>
      <c r="K64" s="127">
        <f>SUM(K62:K63)</f>
        <v>0</v>
      </c>
      <c r="L64" s="128">
        <f>SUM(L62:L63)</f>
        <v>0</v>
      </c>
      <c r="M64" s="128">
        <f>SUM(M62:M63)</f>
        <v>0</v>
      </c>
      <c r="N64" s="109"/>
      <c r="O64" s="129">
        <f>SUM(J64+K64+L64+M64)</f>
        <v>215100</v>
      </c>
    </row>
    <row r="65" spans="4:15" x14ac:dyDescent="0.25">
      <c r="D65" s="130"/>
      <c r="I65" s="131"/>
      <c r="J65" s="131"/>
    </row>
    <row r="66" spans="4:15" ht="15.75" x14ac:dyDescent="0.25">
      <c r="D66" s="130"/>
      <c r="G66" s="162" t="s">
        <v>1646</v>
      </c>
      <c r="H66" s="162"/>
      <c r="I66" s="163"/>
      <c r="J66" s="106">
        <f>SUM(J64+J60)</f>
        <v>1935500</v>
      </c>
      <c r="K66" s="127">
        <f>SUM(K64+K60)</f>
        <v>0</v>
      </c>
      <c r="L66" s="128">
        <f>SUM(L64+L60)</f>
        <v>68556</v>
      </c>
      <c r="M66" s="128">
        <f>SUM(M64+M60)</f>
        <v>0</v>
      </c>
      <c r="N66" s="109"/>
      <c r="O66" s="129">
        <f>SUM(J66+K66+L66+M66)</f>
        <v>2004056</v>
      </c>
    </row>
    <row r="67" spans="4:15" ht="15.75" x14ac:dyDescent="0.25">
      <c r="D67" s="130"/>
      <c r="H67" s="142"/>
      <c r="I67" s="142"/>
      <c r="J67" s="142"/>
      <c r="K67" s="143"/>
      <c r="L67" s="143"/>
      <c r="M67" s="143"/>
      <c r="N67" s="144"/>
      <c r="O67" s="145"/>
    </row>
    <row r="68" spans="4:15" ht="15.75" x14ac:dyDescent="0.25">
      <c r="D68" s="130"/>
      <c r="H68" s="216" t="s">
        <v>27</v>
      </c>
      <c r="I68" s="216"/>
      <c r="J68" s="217" t="s">
        <v>14</v>
      </c>
      <c r="K68" s="217"/>
      <c r="L68" s="218" t="s">
        <v>15</v>
      </c>
      <c r="M68" s="218"/>
      <c r="N68" s="136"/>
      <c r="O68" s="219"/>
    </row>
    <row r="69" spans="4:15" ht="15.75" x14ac:dyDescent="0.25">
      <c r="D69" s="130"/>
      <c r="H69" s="216"/>
      <c r="I69" s="216"/>
      <c r="J69" s="93" t="s">
        <v>17</v>
      </c>
      <c r="K69" s="146" t="s">
        <v>18</v>
      </c>
      <c r="L69" s="147" t="s">
        <v>17</v>
      </c>
      <c r="M69" s="147" t="s">
        <v>18</v>
      </c>
      <c r="N69" s="136"/>
      <c r="O69" s="219"/>
    </row>
    <row r="70" spans="4:15" ht="15.75" x14ac:dyDescent="0.25">
      <c r="D70" s="130"/>
      <c r="H70" s="216"/>
      <c r="I70" s="216"/>
      <c r="J70" s="127">
        <f>SUM(J50,J66)</f>
        <v>10888500</v>
      </c>
      <c r="K70" s="127">
        <f>SUM(K66+K50)</f>
        <v>3287000</v>
      </c>
      <c r="L70" s="128">
        <f>SUM(L66+L50)</f>
        <v>8731742</v>
      </c>
      <c r="M70" s="128">
        <f>SUM(M66+M50)</f>
        <v>0</v>
      </c>
      <c r="N70" s="109"/>
      <c r="O70" s="219"/>
    </row>
    <row r="71" spans="4:15" x14ac:dyDescent="0.25">
      <c r="D71" s="130"/>
      <c r="I71" s="131"/>
      <c r="J71" s="131"/>
    </row>
    <row r="72" spans="4:15" ht="18.75" x14ac:dyDescent="0.3">
      <c r="D72" s="130"/>
      <c r="H72" s="220"/>
      <c r="I72" s="220"/>
      <c r="J72" s="148"/>
      <c r="L72" s="221" t="s">
        <v>28</v>
      </c>
      <c r="M72" s="221"/>
      <c r="N72" s="149">
        <f>SUM(J70+L70)</f>
        <v>19620242</v>
      </c>
      <c r="O72" s="222">
        <f>SUM(N72+N73)</f>
        <v>22907242</v>
      </c>
    </row>
    <row r="73" spans="4:15" ht="18.75" x14ac:dyDescent="0.3">
      <c r="D73" s="130"/>
      <c r="H73" s="220"/>
      <c r="I73" s="220"/>
      <c r="J73" s="148"/>
      <c r="L73" s="221" t="s">
        <v>29</v>
      </c>
      <c r="M73" s="221"/>
      <c r="N73" s="149">
        <f>SUM(K70+M70)</f>
        <v>3287000</v>
      </c>
      <c r="O73" s="222"/>
    </row>
    <row r="74" spans="4:15" ht="18.75" x14ac:dyDescent="0.3">
      <c r="D74" s="130"/>
      <c r="H74" s="213"/>
      <c r="I74" s="213"/>
      <c r="J74" s="150"/>
      <c r="K74" s="151"/>
    </row>
    <row r="75" spans="4:15" x14ac:dyDescent="0.25">
      <c r="D75" s="89" t="s">
        <v>30</v>
      </c>
      <c r="E75" s="87"/>
      <c r="F75" s="87"/>
      <c r="G75" s="87"/>
      <c r="H75" s="87"/>
      <c r="I75" s="87"/>
      <c r="J75" s="87"/>
      <c r="K75" s="87"/>
    </row>
    <row r="76" spans="4:15" x14ac:dyDescent="0.25">
      <c r="D76" s="89"/>
      <c r="E76" s="87"/>
      <c r="F76" s="87"/>
      <c r="G76" s="87"/>
      <c r="H76" s="87"/>
      <c r="I76" s="87"/>
      <c r="J76" s="87"/>
      <c r="K76" s="87"/>
    </row>
    <row r="77" spans="4:15" x14ac:dyDescent="0.25">
      <c r="D77" s="90" t="s">
        <v>31</v>
      </c>
      <c r="E77" s="90"/>
      <c r="F77" s="90" t="s">
        <v>32</v>
      </c>
      <c r="G77" s="90"/>
      <c r="H77" s="90" t="s">
        <v>33</v>
      </c>
      <c r="I77" s="90"/>
      <c r="J77" s="90" t="s">
        <v>34</v>
      </c>
      <c r="K77" s="90"/>
    </row>
    <row r="78" spans="4:15" x14ac:dyDescent="0.25">
      <c r="D78" s="90"/>
      <c r="E78" s="90"/>
      <c r="F78" s="90"/>
      <c r="G78" s="90"/>
      <c r="H78" s="90"/>
      <c r="I78" s="90"/>
      <c r="J78" s="90"/>
      <c r="K78" s="90"/>
    </row>
    <row r="79" spans="4:15" x14ac:dyDescent="0.25">
      <c r="D79" s="90"/>
      <c r="E79" s="90"/>
      <c r="F79" s="90"/>
      <c r="G79" s="90"/>
      <c r="H79" s="90"/>
      <c r="I79" s="90"/>
      <c r="J79" s="90"/>
      <c r="K79" s="90"/>
    </row>
    <row r="80" spans="4:15" x14ac:dyDescent="0.25">
      <c r="D80" s="90"/>
      <c r="E80" s="90"/>
      <c r="F80" s="90"/>
      <c r="G80" s="90"/>
      <c r="H80" s="90"/>
      <c r="I80" s="90"/>
      <c r="J80" s="90"/>
      <c r="K80" s="90"/>
    </row>
    <row r="81" spans="4:11" x14ac:dyDescent="0.25">
      <c r="D81" s="90" t="s">
        <v>35</v>
      </c>
      <c r="E81" s="90"/>
      <c r="F81" s="90" t="s">
        <v>36</v>
      </c>
      <c r="G81" s="90"/>
      <c r="H81" s="90" t="s">
        <v>36</v>
      </c>
      <c r="I81" s="90"/>
      <c r="J81" s="90" t="s">
        <v>37</v>
      </c>
      <c r="K81" s="90"/>
    </row>
    <row r="82" spans="4:11" x14ac:dyDescent="0.25">
      <c r="D82" s="130"/>
    </row>
    <row r="83" spans="4:11" x14ac:dyDescent="0.25">
      <c r="D83" s="130"/>
    </row>
    <row r="84" spans="4:11" x14ac:dyDescent="0.25">
      <c r="D84" s="130"/>
    </row>
    <row r="85" spans="4:11" x14ac:dyDescent="0.25">
      <c r="D85" s="130"/>
    </row>
    <row r="86" spans="4:11" x14ac:dyDescent="0.25">
      <c r="D86" s="130"/>
    </row>
  </sheetData>
  <mergeCells count="48">
    <mergeCell ref="B19:I19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3:G54"/>
    <mergeCell ref="B20:O20"/>
    <mergeCell ref="B32:I32"/>
    <mergeCell ref="B33:O33"/>
    <mergeCell ref="B47:I47"/>
    <mergeCell ref="G50:I50"/>
    <mergeCell ref="B52:D52"/>
    <mergeCell ref="B53:B54"/>
    <mergeCell ref="C53:C54"/>
    <mergeCell ref="D53:D54"/>
    <mergeCell ref="E53:E54"/>
    <mergeCell ref="F53:F54"/>
    <mergeCell ref="H53:H54"/>
    <mergeCell ref="I53:I54"/>
    <mergeCell ref="J53:N53"/>
    <mergeCell ref="O53:O54"/>
    <mergeCell ref="G66:I66"/>
    <mergeCell ref="J54:K54"/>
    <mergeCell ref="L54:M54"/>
    <mergeCell ref="H74:I74"/>
    <mergeCell ref="B60:I60"/>
    <mergeCell ref="B61:O61"/>
    <mergeCell ref="B64:I64"/>
    <mergeCell ref="H68:I70"/>
    <mergeCell ref="J68:K68"/>
    <mergeCell ref="L68:M68"/>
    <mergeCell ref="O68:O70"/>
    <mergeCell ref="H72:I72"/>
    <mergeCell ref="L72:M72"/>
    <mergeCell ref="O72:O73"/>
    <mergeCell ref="H73:I73"/>
    <mergeCell ref="L73:M73"/>
  </mergeCells>
  <pageMargins left="0" right="0" top="0" bottom="0" header="0" footer="0"/>
  <pageSetup paperSize="9" scale="60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8930-896F-42E9-817F-A07D3DBCCA63}">
  <dimension ref="A2:Q83"/>
  <sheetViews>
    <sheetView topLeftCell="D46" workbookViewId="0">
      <selection activeCell="G63" sqref="G63:I63"/>
    </sheetView>
  </sheetViews>
  <sheetFormatPr defaultRowHeight="15" x14ac:dyDescent="0.25"/>
  <cols>
    <col min="1" max="1" width="2.140625" style="88" customWidth="1"/>
    <col min="2" max="2" width="4.28515625" style="88" customWidth="1"/>
    <col min="3" max="3" width="12.42578125" style="88" customWidth="1"/>
    <col min="4" max="4" width="16.42578125" style="88" customWidth="1"/>
    <col min="5" max="5" width="15.28515625" style="88" customWidth="1"/>
    <col min="6" max="6" width="12.28515625" style="88" customWidth="1"/>
    <col min="7" max="7" width="11.7109375" style="88" customWidth="1"/>
    <col min="8" max="8" width="13" style="88" customWidth="1"/>
    <col min="9" max="9" width="14.5703125" style="88" customWidth="1"/>
    <col min="10" max="10" width="16.5703125" style="88" customWidth="1"/>
    <col min="11" max="11" width="17.42578125" style="88" customWidth="1"/>
    <col min="12" max="12" width="15.5703125" style="88" customWidth="1"/>
    <col min="13" max="13" width="17.5703125" style="88" customWidth="1"/>
    <col min="14" max="14" width="23.5703125" style="88" customWidth="1"/>
    <col min="15" max="15" width="22.140625" style="88" customWidth="1"/>
    <col min="16" max="16384" width="9.140625" style="88"/>
  </cols>
  <sheetData>
    <row r="2" spans="2:17" x14ac:dyDescent="0.25">
      <c r="B2" s="87" t="s">
        <v>0</v>
      </c>
      <c r="I2" s="157"/>
    </row>
    <row r="3" spans="2:17" x14ac:dyDescent="0.25">
      <c r="B3" s="224" t="s">
        <v>1</v>
      </c>
      <c r="C3" s="224"/>
      <c r="D3" s="224"/>
    </row>
    <row r="4" spans="2:17" x14ac:dyDescent="0.25">
      <c r="K4" s="87"/>
      <c r="L4" s="227" t="s">
        <v>632</v>
      </c>
      <c r="M4" s="227"/>
      <c r="N4" s="227"/>
      <c r="O4" s="227"/>
    </row>
    <row r="5" spans="2:17" x14ac:dyDescent="0.25">
      <c r="B5" s="228" t="s">
        <v>2</v>
      </c>
      <c r="C5" s="228"/>
      <c r="D5" s="228"/>
      <c r="Q5" s="88" t="s">
        <v>3</v>
      </c>
    </row>
    <row r="6" spans="2:17" ht="15.75" x14ac:dyDescent="0.25">
      <c r="B6" s="216" t="s">
        <v>4</v>
      </c>
      <c r="C6" s="216" t="s">
        <v>5</v>
      </c>
      <c r="D6" s="216" t="s">
        <v>6</v>
      </c>
      <c r="E6" s="216" t="s">
        <v>7</v>
      </c>
      <c r="F6" s="216" t="s">
        <v>8</v>
      </c>
      <c r="G6" s="216" t="s">
        <v>9</v>
      </c>
      <c r="H6" s="216" t="s">
        <v>10</v>
      </c>
      <c r="I6" s="216" t="s">
        <v>11</v>
      </c>
      <c r="J6" s="214" t="s">
        <v>12</v>
      </c>
      <c r="K6" s="214"/>
      <c r="L6" s="214"/>
      <c r="M6" s="214"/>
      <c r="N6" s="214"/>
      <c r="O6" s="226" t="s">
        <v>13</v>
      </c>
    </row>
    <row r="7" spans="2:17" ht="15.75" x14ac:dyDescent="0.25">
      <c r="B7" s="216"/>
      <c r="C7" s="216"/>
      <c r="D7" s="216"/>
      <c r="E7" s="216"/>
      <c r="F7" s="216"/>
      <c r="G7" s="216"/>
      <c r="H7" s="216"/>
      <c r="I7" s="216"/>
      <c r="J7" s="211" t="s">
        <v>14</v>
      </c>
      <c r="K7" s="211"/>
      <c r="L7" s="212" t="s">
        <v>15</v>
      </c>
      <c r="M7" s="212"/>
      <c r="N7" s="91" t="s">
        <v>16</v>
      </c>
      <c r="O7" s="226"/>
    </row>
    <row r="8" spans="2:17" ht="15.75" x14ac:dyDescent="0.25">
      <c r="B8" s="91"/>
      <c r="C8" s="91"/>
      <c r="D8" s="91"/>
      <c r="E8" s="91"/>
      <c r="F8" s="91"/>
      <c r="G8" s="91"/>
      <c r="H8" s="91"/>
      <c r="I8" s="91"/>
      <c r="J8" s="93" t="s">
        <v>17</v>
      </c>
      <c r="K8" s="93" t="s">
        <v>18</v>
      </c>
      <c r="L8" s="94" t="s">
        <v>17</v>
      </c>
      <c r="M8" s="94" t="s">
        <v>18</v>
      </c>
      <c r="N8" s="91"/>
      <c r="O8" s="92"/>
    </row>
    <row r="9" spans="2:17" x14ac:dyDescent="0.25">
      <c r="B9" s="95">
        <v>1</v>
      </c>
      <c r="C9" s="96" t="s">
        <v>19</v>
      </c>
      <c r="D9" s="97" t="s">
        <v>633</v>
      </c>
      <c r="E9" s="98" t="s">
        <v>634</v>
      </c>
      <c r="F9" s="99" t="s">
        <v>456</v>
      </c>
      <c r="G9" s="100">
        <v>46154</v>
      </c>
      <c r="H9" s="100">
        <v>46167</v>
      </c>
      <c r="I9" s="101">
        <v>430200</v>
      </c>
      <c r="J9" s="102">
        <f>I9</f>
        <v>430200</v>
      </c>
      <c r="K9" s="103"/>
      <c r="L9" s="104"/>
      <c r="M9" s="104"/>
      <c r="N9" s="105" t="s">
        <v>155</v>
      </c>
      <c r="O9" s="105"/>
    </row>
    <row r="10" spans="2:17" x14ac:dyDescent="0.25">
      <c r="B10" s="95">
        <v>2</v>
      </c>
      <c r="C10" s="96"/>
      <c r="D10" s="97" t="s">
        <v>635</v>
      </c>
      <c r="E10" s="98" t="s">
        <v>636</v>
      </c>
      <c r="F10" s="99" t="s">
        <v>552</v>
      </c>
      <c r="G10" s="100">
        <v>46167</v>
      </c>
      <c r="H10" s="100">
        <v>46179</v>
      </c>
      <c r="I10" s="101">
        <v>1075500</v>
      </c>
      <c r="J10" s="102">
        <f t="shared" ref="J10:J14" si="0">I10</f>
        <v>1075500</v>
      </c>
      <c r="K10" s="103"/>
      <c r="L10" s="104"/>
      <c r="M10" s="104"/>
      <c r="N10" s="105" t="s">
        <v>155</v>
      </c>
      <c r="O10" s="105"/>
    </row>
    <row r="11" spans="2:17" x14ac:dyDescent="0.25">
      <c r="B11" s="95">
        <v>3</v>
      </c>
      <c r="C11" s="96"/>
      <c r="D11" s="97" t="s">
        <v>637</v>
      </c>
      <c r="E11" s="98" t="s">
        <v>638</v>
      </c>
      <c r="F11" s="99" t="s">
        <v>639</v>
      </c>
      <c r="G11" s="100">
        <v>46168</v>
      </c>
      <c r="H11" s="100">
        <v>46181</v>
      </c>
      <c r="I11" s="101">
        <v>543800</v>
      </c>
      <c r="J11" s="102">
        <v>343000</v>
      </c>
      <c r="K11" s="103"/>
      <c r="L11" s="104"/>
      <c r="M11" s="104"/>
      <c r="N11" s="105" t="s">
        <v>158</v>
      </c>
      <c r="O11" s="105"/>
    </row>
    <row r="12" spans="2:17" x14ac:dyDescent="0.25">
      <c r="B12" s="95">
        <v>4</v>
      </c>
      <c r="C12" s="96"/>
      <c r="D12" s="97" t="s">
        <v>640</v>
      </c>
      <c r="E12" s="98" t="s">
        <v>263</v>
      </c>
      <c r="F12" s="99" t="s">
        <v>641</v>
      </c>
      <c r="G12" s="100">
        <v>46168</v>
      </c>
      <c r="H12" s="100">
        <v>46181</v>
      </c>
      <c r="I12" s="101">
        <v>113600</v>
      </c>
      <c r="J12" s="102">
        <f t="shared" si="0"/>
        <v>113600</v>
      </c>
      <c r="K12" s="103"/>
      <c r="L12" s="104"/>
      <c r="M12" s="104"/>
      <c r="N12" s="105" t="s">
        <v>155</v>
      </c>
      <c r="O12" s="105"/>
    </row>
    <row r="13" spans="2:17" x14ac:dyDescent="0.25">
      <c r="B13" s="95">
        <v>5</v>
      </c>
      <c r="C13" s="96"/>
      <c r="D13" s="97" t="s">
        <v>642</v>
      </c>
      <c r="E13" s="98" t="s">
        <v>643</v>
      </c>
      <c r="F13" s="99" t="s">
        <v>644</v>
      </c>
      <c r="G13" s="100">
        <v>46168</v>
      </c>
      <c r="H13" s="100">
        <v>46181</v>
      </c>
      <c r="I13" s="101">
        <v>645300</v>
      </c>
      <c r="J13" s="102">
        <f t="shared" si="0"/>
        <v>645300</v>
      </c>
      <c r="K13" s="103"/>
      <c r="L13" s="104"/>
      <c r="M13" s="104"/>
      <c r="N13" s="105" t="s">
        <v>155</v>
      </c>
      <c r="O13" s="105"/>
    </row>
    <row r="14" spans="2:17" x14ac:dyDescent="0.25">
      <c r="B14" s="95">
        <v>6</v>
      </c>
      <c r="C14" s="96"/>
      <c r="D14" s="97" t="s">
        <v>645</v>
      </c>
      <c r="E14" s="98" t="s">
        <v>646</v>
      </c>
      <c r="F14" s="99" t="s">
        <v>647</v>
      </c>
      <c r="G14" s="100">
        <v>46168</v>
      </c>
      <c r="H14" s="100">
        <v>46181</v>
      </c>
      <c r="I14" s="101">
        <v>227200</v>
      </c>
      <c r="J14" s="102">
        <f t="shared" si="0"/>
        <v>227200</v>
      </c>
      <c r="K14" s="103"/>
      <c r="L14" s="104"/>
      <c r="M14" s="104"/>
      <c r="N14" s="105" t="s">
        <v>155</v>
      </c>
      <c r="O14" s="105"/>
    </row>
    <row r="15" spans="2:17" x14ac:dyDescent="0.25">
      <c r="B15" s="95">
        <v>7</v>
      </c>
      <c r="C15" s="96"/>
      <c r="D15" s="97" t="s">
        <v>648</v>
      </c>
      <c r="E15" s="98" t="s">
        <v>165</v>
      </c>
      <c r="F15" s="99" t="s">
        <v>647</v>
      </c>
      <c r="G15" s="100">
        <v>46168</v>
      </c>
      <c r="H15" s="100">
        <v>46181</v>
      </c>
      <c r="I15" s="101">
        <v>657400</v>
      </c>
      <c r="J15" s="102">
        <v>300000</v>
      </c>
      <c r="K15" s="103"/>
      <c r="L15" s="104"/>
      <c r="M15" s="104"/>
      <c r="N15" s="105" t="s">
        <v>158</v>
      </c>
      <c r="O15" s="105"/>
    </row>
    <row r="16" spans="2:17" x14ac:dyDescent="0.25">
      <c r="B16" s="95">
        <v>8</v>
      </c>
      <c r="C16" s="96"/>
      <c r="D16" s="97" t="s">
        <v>649</v>
      </c>
      <c r="E16" s="98" t="s">
        <v>634</v>
      </c>
      <c r="F16" s="99" t="s">
        <v>456</v>
      </c>
      <c r="G16" s="100">
        <v>46154</v>
      </c>
      <c r="H16" s="100">
        <v>46167</v>
      </c>
      <c r="I16" s="101">
        <v>85695</v>
      </c>
      <c r="J16" s="102"/>
      <c r="K16" s="103"/>
      <c r="L16" s="104">
        <f t="shared" ref="L16:L17" si="1">I16</f>
        <v>85695</v>
      </c>
      <c r="M16" s="104"/>
      <c r="N16" s="105" t="s">
        <v>155</v>
      </c>
      <c r="O16" s="105"/>
    </row>
    <row r="17" spans="2:15" x14ac:dyDescent="0.25">
      <c r="B17" s="95">
        <v>9</v>
      </c>
      <c r="C17" s="96"/>
      <c r="D17" s="97" t="s">
        <v>650</v>
      </c>
      <c r="E17" s="98" t="s">
        <v>651</v>
      </c>
      <c r="F17" s="99" t="s">
        <v>552</v>
      </c>
      <c r="G17" s="100">
        <v>46167</v>
      </c>
      <c r="H17" s="100">
        <v>46179</v>
      </c>
      <c r="I17" s="101">
        <v>364276</v>
      </c>
      <c r="J17" s="102"/>
      <c r="K17" s="103"/>
      <c r="L17" s="104">
        <f t="shared" si="1"/>
        <v>364276</v>
      </c>
      <c r="M17" s="104"/>
      <c r="N17" s="105" t="s">
        <v>155</v>
      </c>
      <c r="O17" s="105"/>
    </row>
    <row r="18" spans="2:15" ht="15.75" x14ac:dyDescent="0.25">
      <c r="B18" s="214" t="s">
        <v>13</v>
      </c>
      <c r="C18" s="214"/>
      <c r="D18" s="214"/>
      <c r="E18" s="214"/>
      <c r="F18" s="214"/>
      <c r="G18" s="214"/>
      <c r="H18" s="214"/>
      <c r="I18" s="214"/>
      <c r="J18" s="106">
        <f>SUM(J9:J17)</f>
        <v>3134800</v>
      </c>
      <c r="K18" s="107">
        <f>SUM(K9:K17)</f>
        <v>0</v>
      </c>
      <c r="L18" s="108">
        <f>SUM(L9:L17)</f>
        <v>449971</v>
      </c>
      <c r="M18" s="108">
        <f>SUM(M9:M17)</f>
        <v>0</v>
      </c>
      <c r="N18" s="109"/>
      <c r="O18" s="110">
        <f>SUM(J18+K18+L18+M18)</f>
        <v>3584771</v>
      </c>
    </row>
    <row r="19" spans="2:15" ht="15.75" x14ac:dyDescent="0.25">
      <c r="B19" s="229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</row>
    <row r="20" spans="2:15" x14ac:dyDescent="0.25">
      <c r="B20" s="95">
        <v>1</v>
      </c>
      <c r="C20" s="111" t="s">
        <v>20</v>
      </c>
      <c r="D20" s="97" t="s">
        <v>652</v>
      </c>
      <c r="E20" s="112" t="s">
        <v>653</v>
      </c>
      <c r="F20" s="113" t="s">
        <v>567</v>
      </c>
      <c r="G20" s="114">
        <v>46153</v>
      </c>
      <c r="H20" s="114">
        <v>46165</v>
      </c>
      <c r="I20" s="115">
        <v>645300</v>
      </c>
      <c r="J20" s="116">
        <f>I20</f>
        <v>645300</v>
      </c>
      <c r="K20" s="103"/>
      <c r="L20" s="104"/>
      <c r="M20" s="104"/>
      <c r="N20" s="105" t="s">
        <v>155</v>
      </c>
      <c r="O20" s="105"/>
    </row>
    <row r="21" spans="2:15" x14ac:dyDescent="0.25">
      <c r="B21" s="95">
        <v>2</v>
      </c>
      <c r="C21" s="111"/>
      <c r="D21" s="97" t="s">
        <v>654</v>
      </c>
      <c r="E21" s="112" t="s">
        <v>655</v>
      </c>
      <c r="F21" s="113" t="s">
        <v>656</v>
      </c>
      <c r="G21" s="114">
        <v>46154</v>
      </c>
      <c r="H21" s="114">
        <v>46167</v>
      </c>
      <c r="I21" s="115">
        <v>3279000</v>
      </c>
      <c r="J21" s="116">
        <f t="shared" ref="J21:J23" si="2">I21</f>
        <v>3279000</v>
      </c>
      <c r="K21" s="103"/>
      <c r="L21" s="104"/>
      <c r="M21" s="104"/>
      <c r="N21" s="105" t="s">
        <v>155</v>
      </c>
      <c r="O21" s="105"/>
    </row>
    <row r="22" spans="2:15" x14ac:dyDescent="0.25">
      <c r="B22" s="95">
        <v>3</v>
      </c>
      <c r="C22" s="111"/>
      <c r="D22" s="97" t="s">
        <v>658</v>
      </c>
      <c r="E22" s="112" t="s">
        <v>659</v>
      </c>
      <c r="F22" s="113" t="s">
        <v>657</v>
      </c>
      <c r="G22" s="114">
        <v>46154</v>
      </c>
      <c r="H22" s="114">
        <v>46167</v>
      </c>
      <c r="I22" s="115">
        <v>127900</v>
      </c>
      <c r="J22" s="116">
        <f t="shared" si="2"/>
        <v>127900</v>
      </c>
      <c r="K22" s="103"/>
      <c r="L22" s="104"/>
      <c r="M22" s="104"/>
      <c r="N22" s="105" t="s">
        <v>155</v>
      </c>
      <c r="O22" s="105"/>
    </row>
    <row r="23" spans="2:15" x14ac:dyDescent="0.25">
      <c r="B23" s="95">
        <v>4</v>
      </c>
      <c r="C23" s="111"/>
      <c r="D23" s="97" t="s">
        <v>660</v>
      </c>
      <c r="E23" s="112" t="s">
        <v>661</v>
      </c>
      <c r="F23" s="113" t="s">
        <v>662</v>
      </c>
      <c r="G23" s="114">
        <v>46168</v>
      </c>
      <c r="H23" s="114">
        <v>46181</v>
      </c>
      <c r="I23" s="115">
        <v>645300</v>
      </c>
      <c r="J23" s="116">
        <f t="shared" si="2"/>
        <v>645300</v>
      </c>
      <c r="K23" s="103"/>
      <c r="L23" s="104"/>
      <c r="M23" s="104"/>
      <c r="N23" s="105" t="s">
        <v>155</v>
      </c>
      <c r="O23" s="105"/>
    </row>
    <row r="24" spans="2:15" x14ac:dyDescent="0.25">
      <c r="B24" s="95">
        <v>5</v>
      </c>
      <c r="C24" s="111"/>
      <c r="D24" s="97" t="s">
        <v>663</v>
      </c>
      <c r="E24" s="112" t="s">
        <v>578</v>
      </c>
      <c r="F24" s="113" t="s">
        <v>576</v>
      </c>
      <c r="G24" s="114">
        <v>46167</v>
      </c>
      <c r="H24" s="114">
        <v>46180</v>
      </c>
      <c r="I24" s="115">
        <v>231000</v>
      </c>
      <c r="J24" s="116"/>
      <c r="K24" s="103"/>
      <c r="L24" s="104">
        <f>I24</f>
        <v>231000</v>
      </c>
      <c r="M24" s="104"/>
      <c r="N24" s="105" t="s">
        <v>155</v>
      </c>
      <c r="O24" s="105"/>
    </row>
    <row r="25" spans="2:15" x14ac:dyDescent="0.25">
      <c r="B25" s="95">
        <v>6</v>
      </c>
      <c r="C25" s="111"/>
      <c r="D25" s="97" t="s">
        <v>664</v>
      </c>
      <c r="E25" s="112" t="s">
        <v>665</v>
      </c>
      <c r="F25" s="113" t="s">
        <v>666</v>
      </c>
      <c r="G25" s="114">
        <v>46168</v>
      </c>
      <c r="H25" s="114">
        <v>46181</v>
      </c>
      <c r="I25" s="115">
        <v>342780</v>
      </c>
      <c r="J25" s="116"/>
      <c r="K25" s="103"/>
      <c r="L25" s="104">
        <f t="shared" ref="L25:L29" si="3">I25</f>
        <v>342780</v>
      </c>
      <c r="M25" s="104"/>
      <c r="N25" s="105" t="s">
        <v>155</v>
      </c>
      <c r="O25" s="105"/>
    </row>
    <row r="26" spans="2:15" x14ac:dyDescent="0.25">
      <c r="B26" s="95">
        <v>7</v>
      </c>
      <c r="C26" s="111"/>
      <c r="D26" s="97" t="s">
        <v>667</v>
      </c>
      <c r="E26" s="112" t="s">
        <v>668</v>
      </c>
      <c r="F26" s="113" t="s">
        <v>187</v>
      </c>
      <c r="G26" s="114">
        <v>46168</v>
      </c>
      <c r="H26" s="114">
        <v>46181</v>
      </c>
      <c r="I26" s="115">
        <v>391500</v>
      </c>
      <c r="J26" s="116"/>
      <c r="K26" s="103"/>
      <c r="L26" s="104">
        <f t="shared" si="3"/>
        <v>391500</v>
      </c>
      <c r="M26" s="104"/>
      <c r="N26" s="105" t="s">
        <v>155</v>
      </c>
      <c r="O26" s="105"/>
    </row>
    <row r="27" spans="2:15" x14ac:dyDescent="0.25">
      <c r="B27" s="95">
        <v>8</v>
      </c>
      <c r="C27" s="111"/>
      <c r="D27" s="97" t="s">
        <v>669</v>
      </c>
      <c r="E27" s="112" t="s">
        <v>661</v>
      </c>
      <c r="F27" s="113" t="s">
        <v>662</v>
      </c>
      <c r="G27" s="114">
        <v>46168</v>
      </c>
      <c r="H27" s="114">
        <v>46181</v>
      </c>
      <c r="I27" s="115">
        <v>43500</v>
      </c>
      <c r="J27" s="116"/>
      <c r="K27" s="103"/>
      <c r="L27" s="104">
        <f t="shared" si="3"/>
        <v>43500</v>
      </c>
      <c r="M27" s="104"/>
      <c r="N27" s="105" t="s">
        <v>155</v>
      </c>
      <c r="O27" s="105"/>
    </row>
    <row r="28" spans="2:15" x14ac:dyDescent="0.25">
      <c r="B28" s="95">
        <v>9</v>
      </c>
      <c r="C28" s="111"/>
      <c r="D28" s="97" t="s">
        <v>670</v>
      </c>
      <c r="E28" s="112" t="s">
        <v>671</v>
      </c>
      <c r="F28" s="113" t="s">
        <v>662</v>
      </c>
      <c r="G28" s="114">
        <v>46168</v>
      </c>
      <c r="H28" s="114">
        <v>46181</v>
      </c>
      <c r="I28" s="115">
        <v>591000</v>
      </c>
      <c r="J28" s="116"/>
      <c r="K28" s="103"/>
      <c r="L28" s="104">
        <f t="shared" si="3"/>
        <v>591000</v>
      </c>
      <c r="M28" s="104"/>
      <c r="N28" s="105" t="s">
        <v>155</v>
      </c>
      <c r="O28" s="105"/>
    </row>
    <row r="29" spans="2:15" x14ac:dyDescent="0.25">
      <c r="B29" s="95">
        <v>10</v>
      </c>
      <c r="C29" s="111"/>
      <c r="D29" s="97" t="s">
        <v>672</v>
      </c>
      <c r="E29" s="112" t="s">
        <v>673</v>
      </c>
      <c r="F29" s="113" t="s">
        <v>674</v>
      </c>
      <c r="G29" s="114">
        <v>46168</v>
      </c>
      <c r="H29" s="114">
        <v>46181</v>
      </c>
      <c r="I29" s="115">
        <v>124200</v>
      </c>
      <c r="J29" s="116"/>
      <c r="K29" s="103"/>
      <c r="L29" s="104">
        <f t="shared" si="3"/>
        <v>124200</v>
      </c>
      <c r="M29" s="104"/>
      <c r="N29" s="105" t="s">
        <v>155</v>
      </c>
      <c r="O29" s="105"/>
    </row>
    <row r="30" spans="2:15" ht="15.75" x14ac:dyDescent="0.25">
      <c r="B30" s="214" t="s">
        <v>13</v>
      </c>
      <c r="C30" s="214"/>
      <c r="D30" s="214"/>
      <c r="E30" s="214"/>
      <c r="F30" s="214"/>
      <c r="G30" s="214"/>
      <c r="H30" s="214"/>
      <c r="I30" s="214"/>
      <c r="J30" s="106">
        <f>SUM(J20:J29)</f>
        <v>4697500</v>
      </c>
      <c r="K30" s="107">
        <f>SUM(K20:K29)</f>
        <v>0</v>
      </c>
      <c r="L30" s="108">
        <f>SUM(L20:L29)</f>
        <v>1723980</v>
      </c>
      <c r="M30" s="108">
        <f>SUM(M20:M29)</f>
        <v>0</v>
      </c>
      <c r="N30" s="109"/>
      <c r="O30" s="117">
        <f>SUM(J30+K30+L30+M30)</f>
        <v>6421480</v>
      </c>
    </row>
    <row r="31" spans="2:15" ht="15.75" x14ac:dyDescent="0.25">
      <c r="B31" s="229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</row>
    <row r="32" spans="2:15" ht="15.75" x14ac:dyDescent="0.25">
      <c r="B32" s="118">
        <v>1</v>
      </c>
      <c r="C32" s="96" t="s">
        <v>21</v>
      </c>
      <c r="D32" s="119" t="s">
        <v>606</v>
      </c>
      <c r="E32" s="120" t="s">
        <v>607</v>
      </c>
      <c r="F32" s="120" t="s">
        <v>608</v>
      </c>
      <c r="G32" s="121">
        <v>46167</v>
      </c>
      <c r="H32" s="121">
        <v>46179</v>
      </c>
      <c r="I32" s="122">
        <v>500000</v>
      </c>
      <c r="J32" s="123">
        <f>I32</f>
        <v>500000</v>
      </c>
      <c r="K32" s="124"/>
      <c r="L32" s="125"/>
      <c r="M32" s="125"/>
      <c r="N32" s="105" t="s">
        <v>155</v>
      </c>
      <c r="O32" s="118"/>
    </row>
    <row r="33" spans="2:15" ht="15.75" x14ac:dyDescent="0.25">
      <c r="B33" s="118">
        <v>2</v>
      </c>
      <c r="C33" s="96"/>
      <c r="D33" s="119" t="s">
        <v>676</v>
      </c>
      <c r="E33" s="120" t="s">
        <v>677</v>
      </c>
      <c r="F33" s="120" t="s">
        <v>678</v>
      </c>
      <c r="G33" s="121">
        <v>46168</v>
      </c>
      <c r="H33" s="121">
        <v>46181</v>
      </c>
      <c r="I33" s="122">
        <v>657400</v>
      </c>
      <c r="J33" s="123">
        <f t="shared" ref="J33:J34" si="4">I33</f>
        <v>657400</v>
      </c>
      <c r="K33" s="124"/>
      <c r="L33" s="125"/>
      <c r="M33" s="125"/>
      <c r="N33" s="105" t="s">
        <v>155</v>
      </c>
      <c r="O33" s="118"/>
    </row>
    <row r="34" spans="2:15" ht="15.75" x14ac:dyDescent="0.25">
      <c r="B34" s="118">
        <v>3</v>
      </c>
      <c r="C34" s="96"/>
      <c r="D34" s="119" t="s">
        <v>679</v>
      </c>
      <c r="E34" s="120" t="s">
        <v>43</v>
      </c>
      <c r="F34" s="120" t="s">
        <v>680</v>
      </c>
      <c r="G34" s="121">
        <v>46168</v>
      </c>
      <c r="H34" s="121">
        <v>46181</v>
      </c>
      <c r="I34" s="122">
        <v>645300</v>
      </c>
      <c r="J34" s="123">
        <f t="shared" si="4"/>
        <v>645300</v>
      </c>
      <c r="K34" s="124"/>
      <c r="L34" s="125"/>
      <c r="M34" s="125"/>
      <c r="N34" s="105" t="s">
        <v>155</v>
      </c>
      <c r="O34" s="118"/>
    </row>
    <row r="35" spans="2:15" ht="15.75" x14ac:dyDescent="0.25">
      <c r="B35" s="118">
        <v>4</v>
      </c>
      <c r="C35" s="96"/>
      <c r="D35" s="119" t="s">
        <v>681</v>
      </c>
      <c r="E35" s="120" t="s">
        <v>506</v>
      </c>
      <c r="F35" s="120" t="s">
        <v>682</v>
      </c>
      <c r="G35" s="121">
        <v>46164</v>
      </c>
      <c r="H35" s="121">
        <v>46177</v>
      </c>
      <c r="I35" s="122">
        <v>484490</v>
      </c>
      <c r="J35" s="123"/>
      <c r="K35" s="124"/>
      <c r="L35" s="126">
        <f>I35</f>
        <v>484490</v>
      </c>
      <c r="M35" s="125"/>
      <c r="N35" s="105" t="s">
        <v>155</v>
      </c>
      <c r="O35" s="118"/>
    </row>
    <row r="36" spans="2:15" ht="15.75" x14ac:dyDescent="0.25">
      <c r="B36" s="118">
        <v>5</v>
      </c>
      <c r="C36" s="96"/>
      <c r="D36" s="119" t="s">
        <v>683</v>
      </c>
      <c r="E36" s="120" t="s">
        <v>444</v>
      </c>
      <c r="F36" s="120" t="s">
        <v>684</v>
      </c>
      <c r="G36" s="121">
        <v>46168</v>
      </c>
      <c r="H36" s="121">
        <v>46181</v>
      </c>
      <c r="I36" s="122">
        <v>160000</v>
      </c>
      <c r="J36" s="123"/>
      <c r="K36" s="124"/>
      <c r="L36" s="126">
        <f t="shared" ref="L36:L38" si="5">I36</f>
        <v>160000</v>
      </c>
      <c r="M36" s="125"/>
      <c r="N36" s="105" t="s">
        <v>155</v>
      </c>
      <c r="O36" s="118"/>
    </row>
    <row r="37" spans="2:15" ht="15.75" x14ac:dyDescent="0.25">
      <c r="B37" s="118">
        <v>6</v>
      </c>
      <c r="C37" s="96"/>
      <c r="D37" s="119" t="s">
        <v>685</v>
      </c>
      <c r="E37" s="120" t="s">
        <v>106</v>
      </c>
      <c r="F37" s="120" t="s">
        <v>686</v>
      </c>
      <c r="G37" s="121">
        <v>46168</v>
      </c>
      <c r="H37" s="121">
        <v>46181</v>
      </c>
      <c r="I37" s="122">
        <v>663000</v>
      </c>
      <c r="J37" s="123"/>
      <c r="K37" s="124"/>
      <c r="L37" s="126">
        <f t="shared" si="5"/>
        <v>663000</v>
      </c>
      <c r="M37" s="125"/>
      <c r="N37" s="105" t="s">
        <v>155</v>
      </c>
      <c r="O37" s="118"/>
    </row>
    <row r="38" spans="2:15" ht="15.75" x14ac:dyDescent="0.25">
      <c r="B38" s="118">
        <v>7</v>
      </c>
      <c r="C38" s="96"/>
      <c r="D38" s="119" t="s">
        <v>687</v>
      </c>
      <c r="E38" s="120" t="s">
        <v>677</v>
      </c>
      <c r="F38" s="120" t="s">
        <v>678</v>
      </c>
      <c r="G38" s="121">
        <v>46168</v>
      </c>
      <c r="H38" s="121">
        <v>46181</v>
      </c>
      <c r="I38" s="122">
        <v>87000</v>
      </c>
      <c r="J38" s="123"/>
      <c r="K38" s="124"/>
      <c r="L38" s="126">
        <f t="shared" si="5"/>
        <v>87000</v>
      </c>
      <c r="M38" s="125"/>
      <c r="N38" s="105" t="s">
        <v>155</v>
      </c>
      <c r="O38" s="118"/>
    </row>
    <row r="39" spans="2:15" ht="15.75" x14ac:dyDescent="0.25">
      <c r="B39" s="214" t="s">
        <v>13</v>
      </c>
      <c r="C39" s="214"/>
      <c r="D39" s="214"/>
      <c r="E39" s="214"/>
      <c r="F39" s="214"/>
      <c r="G39" s="214"/>
      <c r="H39" s="214"/>
      <c r="I39" s="214"/>
      <c r="J39" s="106">
        <f>SUM(J32:J38)</f>
        <v>1802700</v>
      </c>
      <c r="K39" s="127">
        <f>SUM(K32:K38)</f>
        <v>0</v>
      </c>
      <c r="L39" s="128">
        <f>SUM(L32:L38)</f>
        <v>1394490</v>
      </c>
      <c r="M39" s="128">
        <f>SUM(M32:M38)</f>
        <v>0</v>
      </c>
      <c r="N39" s="109"/>
      <c r="O39" s="129">
        <f>SUM(J39+K39+L39+M39)</f>
        <v>3197190</v>
      </c>
    </row>
    <row r="40" spans="2:15" x14ac:dyDescent="0.25">
      <c r="D40" s="130"/>
      <c r="I40" s="131"/>
      <c r="J40" s="131"/>
    </row>
    <row r="41" spans="2:15" x14ac:dyDescent="0.25">
      <c r="D41" s="130"/>
      <c r="I41" s="131"/>
      <c r="J41" s="131"/>
    </row>
    <row r="42" spans="2:15" ht="15.75" x14ac:dyDescent="0.25">
      <c r="D42" s="130"/>
      <c r="G42" s="223" t="s">
        <v>22</v>
      </c>
      <c r="H42" s="223"/>
      <c r="I42" s="223"/>
      <c r="J42" s="132">
        <f>SUM(J39+J30+J18)</f>
        <v>9635000</v>
      </c>
      <c r="K42" s="107">
        <f>SUM(K39+K30+K18)</f>
        <v>0</v>
      </c>
      <c r="L42" s="128">
        <f>SUM(L39+L30+L18)</f>
        <v>3568441</v>
      </c>
      <c r="M42" s="128">
        <f>SUM(M39+M30+M18)</f>
        <v>0</v>
      </c>
      <c r="N42" s="109"/>
      <c r="O42" s="110">
        <f>SUM(J42+K42+L42+M42)</f>
        <v>13203441</v>
      </c>
    </row>
    <row r="43" spans="2:15" x14ac:dyDescent="0.25">
      <c r="D43" s="130"/>
      <c r="I43" s="131"/>
      <c r="J43" s="131"/>
    </row>
    <row r="44" spans="2:15" x14ac:dyDescent="0.25">
      <c r="B44" s="224" t="s">
        <v>17</v>
      </c>
      <c r="C44" s="224"/>
      <c r="D44" s="224"/>
      <c r="I44" s="131"/>
      <c r="J44" s="131"/>
    </row>
    <row r="45" spans="2:15" ht="15.75" x14ac:dyDescent="0.25">
      <c r="B45" s="216" t="s">
        <v>4</v>
      </c>
      <c r="C45" s="225" t="s">
        <v>23</v>
      </c>
      <c r="D45" s="216" t="s">
        <v>6</v>
      </c>
      <c r="E45" s="216" t="s">
        <v>7</v>
      </c>
      <c r="F45" s="216" t="s">
        <v>8</v>
      </c>
      <c r="G45" s="216" t="s">
        <v>9</v>
      </c>
      <c r="H45" s="216" t="s">
        <v>10</v>
      </c>
      <c r="I45" s="225" t="s">
        <v>24</v>
      </c>
      <c r="J45" s="214" t="s">
        <v>12</v>
      </c>
      <c r="K45" s="214"/>
      <c r="L45" s="214"/>
      <c r="M45" s="214"/>
      <c r="N45" s="214"/>
      <c r="O45" s="226" t="s">
        <v>13</v>
      </c>
    </row>
    <row r="46" spans="2:15" ht="15.75" x14ac:dyDescent="0.25">
      <c r="B46" s="216"/>
      <c r="C46" s="225"/>
      <c r="D46" s="216"/>
      <c r="E46" s="216"/>
      <c r="F46" s="216"/>
      <c r="G46" s="216"/>
      <c r="H46" s="216"/>
      <c r="I46" s="225"/>
      <c r="J46" s="211" t="s">
        <v>14</v>
      </c>
      <c r="K46" s="211"/>
      <c r="L46" s="212" t="s">
        <v>15</v>
      </c>
      <c r="M46" s="212"/>
      <c r="N46" s="91" t="s">
        <v>16</v>
      </c>
      <c r="O46" s="226"/>
    </row>
    <row r="47" spans="2:15" ht="15.75" x14ac:dyDescent="0.25">
      <c r="B47" s="91"/>
      <c r="C47" s="133"/>
      <c r="D47" s="91"/>
      <c r="E47" s="91"/>
      <c r="F47" s="91"/>
      <c r="G47" s="91"/>
      <c r="H47" s="91"/>
      <c r="I47" s="133"/>
      <c r="J47" s="134" t="s">
        <v>17</v>
      </c>
      <c r="K47" s="93" t="s">
        <v>18</v>
      </c>
      <c r="L47" s="94" t="s">
        <v>17</v>
      </c>
      <c r="M47" s="94" t="s">
        <v>18</v>
      </c>
      <c r="N47" s="91"/>
      <c r="O47" s="92"/>
    </row>
    <row r="48" spans="2:15" ht="15" customHeight="1" x14ac:dyDescent="0.25">
      <c r="B48" s="119">
        <v>1</v>
      </c>
      <c r="C48" s="96" t="s">
        <v>154</v>
      </c>
      <c r="D48" s="135" t="s">
        <v>688</v>
      </c>
      <c r="E48" s="136" t="s">
        <v>689</v>
      </c>
      <c r="F48" s="136" t="s">
        <v>98</v>
      </c>
      <c r="G48" s="137">
        <v>46150</v>
      </c>
      <c r="H48" s="137"/>
      <c r="I48" s="138">
        <v>1961400</v>
      </c>
      <c r="J48" s="116">
        <f>I48</f>
        <v>1961400</v>
      </c>
      <c r="K48" s="139"/>
      <c r="L48" s="140"/>
      <c r="M48" s="140"/>
      <c r="N48" s="105" t="s">
        <v>155</v>
      </c>
      <c r="O48" s="136"/>
    </row>
    <row r="49" spans="1:15" ht="15" customHeight="1" x14ac:dyDescent="0.25">
      <c r="B49" s="119">
        <v>2</v>
      </c>
      <c r="C49" s="96" t="s">
        <v>154</v>
      </c>
      <c r="D49" s="135" t="s">
        <v>690</v>
      </c>
      <c r="E49" s="135" t="s">
        <v>691</v>
      </c>
      <c r="F49" s="136" t="s">
        <v>98</v>
      </c>
      <c r="G49" s="137">
        <v>46150</v>
      </c>
      <c r="H49" s="141"/>
      <c r="I49" s="105">
        <v>215100</v>
      </c>
      <c r="J49" s="116">
        <f t="shared" ref="J49:J52" si="6">I49</f>
        <v>215100</v>
      </c>
      <c r="K49" s="139"/>
      <c r="L49" s="104"/>
      <c r="M49" s="140"/>
      <c r="N49" s="105" t="s">
        <v>155</v>
      </c>
      <c r="O49" s="136"/>
    </row>
    <row r="50" spans="1:15" ht="15" customHeight="1" x14ac:dyDescent="0.25">
      <c r="B50" s="119">
        <v>3</v>
      </c>
      <c r="C50" s="96" t="s">
        <v>154</v>
      </c>
      <c r="D50" s="135" t="s">
        <v>692</v>
      </c>
      <c r="E50" s="135" t="s">
        <v>693</v>
      </c>
      <c r="F50" s="136" t="s">
        <v>611</v>
      </c>
      <c r="G50" s="137">
        <v>46150</v>
      </c>
      <c r="H50" s="141"/>
      <c r="I50" s="105">
        <v>227200</v>
      </c>
      <c r="J50" s="116">
        <f t="shared" si="6"/>
        <v>227200</v>
      </c>
      <c r="K50" s="139"/>
      <c r="L50" s="104"/>
      <c r="M50" s="140"/>
      <c r="N50" s="105" t="s">
        <v>155</v>
      </c>
      <c r="O50" s="136"/>
    </row>
    <row r="51" spans="1:15" ht="15" customHeight="1" x14ac:dyDescent="0.25">
      <c r="B51" s="119">
        <v>4</v>
      </c>
      <c r="C51" s="96" t="s">
        <v>243</v>
      </c>
      <c r="D51" s="135" t="s">
        <v>694</v>
      </c>
      <c r="E51" s="135" t="s">
        <v>695</v>
      </c>
      <c r="F51" s="136" t="s">
        <v>240</v>
      </c>
      <c r="G51" s="137">
        <v>46150</v>
      </c>
      <c r="H51" s="141"/>
      <c r="I51" s="105">
        <v>1096400</v>
      </c>
      <c r="J51" s="116"/>
      <c r="K51" s="139"/>
      <c r="L51" s="104">
        <f>I51</f>
        <v>1096400</v>
      </c>
      <c r="M51" s="140"/>
      <c r="N51" s="105" t="s">
        <v>155</v>
      </c>
      <c r="O51" s="136"/>
    </row>
    <row r="52" spans="1:15" ht="15" customHeight="1" x14ac:dyDescent="0.25">
      <c r="B52" s="119">
        <v>5</v>
      </c>
      <c r="C52" s="96" t="s">
        <v>243</v>
      </c>
      <c r="D52" s="135" t="s">
        <v>696</v>
      </c>
      <c r="E52" s="135" t="s">
        <v>697</v>
      </c>
      <c r="F52" s="136" t="s">
        <v>698</v>
      </c>
      <c r="G52" s="137">
        <v>46150</v>
      </c>
      <c r="H52" s="141"/>
      <c r="I52" s="105">
        <v>328700</v>
      </c>
      <c r="J52" s="116">
        <f t="shared" si="6"/>
        <v>328700</v>
      </c>
      <c r="K52" s="139"/>
      <c r="L52" s="140"/>
      <c r="M52" s="140"/>
      <c r="N52" s="105" t="s">
        <v>155</v>
      </c>
      <c r="O52" s="136"/>
    </row>
    <row r="53" spans="1:15" ht="15.75" x14ac:dyDescent="0.25">
      <c r="B53" s="214" t="s">
        <v>25</v>
      </c>
      <c r="C53" s="214"/>
      <c r="D53" s="214"/>
      <c r="E53" s="214"/>
      <c r="F53" s="214"/>
      <c r="G53" s="214"/>
      <c r="H53" s="214"/>
      <c r="I53" s="214"/>
      <c r="J53" s="106">
        <f>SUM(J48:J52)</f>
        <v>2732400</v>
      </c>
      <c r="K53" s="127">
        <f>SUM(K48:K52)</f>
        <v>0</v>
      </c>
      <c r="L53" s="128">
        <f>SUM(L48:L52)</f>
        <v>1096400</v>
      </c>
      <c r="M53" s="128">
        <f>SUM(M48:M52)</f>
        <v>0</v>
      </c>
      <c r="N53" s="109"/>
      <c r="O53" s="129">
        <f>SUM(J53+K53+L53+M53)</f>
        <v>3828800</v>
      </c>
    </row>
    <row r="54" spans="1:15" ht="15.75" x14ac:dyDescent="0.25">
      <c r="B54" s="229" t="s">
        <v>709</v>
      </c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</row>
    <row r="55" spans="1:15" x14ac:dyDescent="0.25">
      <c r="B55" s="119">
        <v>1</v>
      </c>
      <c r="C55" s="96" t="s">
        <v>330</v>
      </c>
      <c r="D55" s="135" t="s">
        <v>699</v>
      </c>
      <c r="E55" s="135" t="s">
        <v>700</v>
      </c>
      <c r="F55" s="136" t="s">
        <v>557</v>
      </c>
      <c r="G55" s="137">
        <v>46181</v>
      </c>
      <c r="H55" s="141"/>
      <c r="I55" s="105">
        <v>430200</v>
      </c>
      <c r="J55" s="103">
        <f>I55</f>
        <v>430200</v>
      </c>
      <c r="K55" s="139"/>
      <c r="L55" s="140"/>
      <c r="M55" s="140"/>
      <c r="N55" s="105" t="s">
        <v>155</v>
      </c>
      <c r="O55" s="136"/>
    </row>
    <row r="56" spans="1:15" x14ac:dyDescent="0.25">
      <c r="B56" s="119">
        <v>2</v>
      </c>
      <c r="C56" s="96" t="s">
        <v>330</v>
      </c>
      <c r="D56" s="135" t="s">
        <v>701</v>
      </c>
      <c r="E56" s="135" t="s">
        <v>702</v>
      </c>
      <c r="F56" s="136" t="s">
        <v>552</v>
      </c>
      <c r="G56" s="137">
        <v>46181</v>
      </c>
      <c r="H56" s="141"/>
      <c r="I56" s="105">
        <v>334200</v>
      </c>
      <c r="J56" s="103"/>
      <c r="K56" s="139"/>
      <c r="L56" s="104">
        <f>I56</f>
        <v>334200</v>
      </c>
      <c r="M56" s="104"/>
      <c r="N56" s="105" t="s">
        <v>155</v>
      </c>
      <c r="O56" s="136"/>
    </row>
    <row r="57" spans="1:15" x14ac:dyDescent="0.25">
      <c r="B57" s="119">
        <v>4</v>
      </c>
      <c r="C57" s="96" t="s">
        <v>330</v>
      </c>
      <c r="D57" s="135" t="s">
        <v>703</v>
      </c>
      <c r="E57" s="135" t="s">
        <v>134</v>
      </c>
      <c r="F57" s="136" t="s">
        <v>135</v>
      </c>
      <c r="G57" s="137">
        <v>46181</v>
      </c>
      <c r="H57" s="141"/>
      <c r="I57" s="105">
        <v>1063000</v>
      </c>
      <c r="J57" s="103">
        <f>I57</f>
        <v>1063000</v>
      </c>
      <c r="K57" s="139"/>
      <c r="L57" s="140"/>
      <c r="M57" s="140"/>
      <c r="N57" s="105" t="s">
        <v>155</v>
      </c>
      <c r="O57" s="136"/>
    </row>
    <row r="58" spans="1:15" x14ac:dyDescent="0.25">
      <c r="B58" s="119">
        <v>5</v>
      </c>
      <c r="C58" s="96" t="s">
        <v>440</v>
      </c>
      <c r="D58" s="135" t="s">
        <v>704</v>
      </c>
      <c r="E58" s="135" t="s">
        <v>705</v>
      </c>
      <c r="F58" s="136" t="s">
        <v>576</v>
      </c>
      <c r="G58" s="137">
        <v>46181</v>
      </c>
      <c r="H58" s="141"/>
      <c r="I58" s="105">
        <v>10455000</v>
      </c>
      <c r="J58" s="103">
        <f>I58</f>
        <v>10455000</v>
      </c>
      <c r="K58" s="139"/>
      <c r="L58" s="140"/>
      <c r="M58" s="140"/>
      <c r="N58" s="105" t="s">
        <v>155</v>
      </c>
      <c r="O58" s="136"/>
    </row>
    <row r="59" spans="1:15" x14ac:dyDescent="0.25">
      <c r="B59" s="119">
        <v>6</v>
      </c>
      <c r="C59" s="96" t="s">
        <v>440</v>
      </c>
      <c r="D59" s="135" t="s">
        <v>706</v>
      </c>
      <c r="E59" s="135" t="s">
        <v>705</v>
      </c>
      <c r="F59" s="136" t="s">
        <v>576</v>
      </c>
      <c r="G59" s="137">
        <v>46181</v>
      </c>
      <c r="H59" s="141"/>
      <c r="I59" s="105">
        <v>1111000</v>
      </c>
      <c r="J59" s="103">
        <f>I59</f>
        <v>1111000</v>
      </c>
      <c r="K59" s="139"/>
      <c r="L59" s="140"/>
      <c r="M59" s="140"/>
      <c r="N59" s="105" t="s">
        <v>155</v>
      </c>
      <c r="O59" s="136"/>
    </row>
    <row r="60" spans="1:15" x14ac:dyDescent="0.25">
      <c r="B60" s="119">
        <v>7</v>
      </c>
      <c r="C60" s="96" t="s">
        <v>440</v>
      </c>
      <c r="D60" s="135" t="s">
        <v>707</v>
      </c>
      <c r="E60" s="135" t="s">
        <v>675</v>
      </c>
      <c r="F60" s="136" t="s">
        <v>708</v>
      </c>
      <c r="G60" s="137">
        <v>46181</v>
      </c>
      <c r="H60" s="141"/>
      <c r="I60" s="105">
        <v>78000</v>
      </c>
      <c r="J60" s="103"/>
      <c r="K60" s="139"/>
      <c r="L60" s="104">
        <f>I60</f>
        <v>78000</v>
      </c>
      <c r="M60" s="140"/>
      <c r="N60" s="105" t="s">
        <v>155</v>
      </c>
      <c r="O60" s="136"/>
    </row>
    <row r="61" spans="1:15" ht="15.75" x14ac:dyDescent="0.25">
      <c r="A61" s="88" t="s">
        <v>3</v>
      </c>
      <c r="B61" s="231" t="s">
        <v>25</v>
      </c>
      <c r="C61" s="232"/>
      <c r="D61" s="232"/>
      <c r="E61" s="232"/>
      <c r="F61" s="232"/>
      <c r="G61" s="232"/>
      <c r="H61" s="232"/>
      <c r="I61" s="233"/>
      <c r="J61" s="158">
        <f>SUM(J55:J60)</f>
        <v>13059200</v>
      </c>
      <c r="K61" s="152">
        <f>SUM(K55:K60)</f>
        <v>0</v>
      </c>
      <c r="L61" s="153">
        <f>SUM(L55:L60)</f>
        <v>412200</v>
      </c>
      <c r="M61" s="153">
        <f>SUM(M55:M60)</f>
        <v>0</v>
      </c>
      <c r="N61" s="154"/>
      <c r="O61" s="155">
        <f>SUM(J61+K61+L61+M61)</f>
        <v>13471400</v>
      </c>
    </row>
    <row r="62" spans="1:15" x14ac:dyDescent="0.25">
      <c r="D62" s="130"/>
      <c r="I62" s="131"/>
      <c r="J62" s="131"/>
    </row>
    <row r="63" spans="1:15" ht="15.75" x14ac:dyDescent="0.25">
      <c r="D63" s="130"/>
      <c r="G63" s="162" t="s">
        <v>1646</v>
      </c>
      <c r="H63" s="162"/>
      <c r="I63" s="163"/>
      <c r="J63" s="106">
        <f>SUM(J61+J53)</f>
        <v>15791600</v>
      </c>
      <c r="K63" s="127">
        <f>SUM(K61+K53)</f>
        <v>0</v>
      </c>
      <c r="L63" s="128">
        <f>SUM(L61+L53)</f>
        <v>1508600</v>
      </c>
      <c r="M63" s="128">
        <f>SUM(M61+M53)</f>
        <v>0</v>
      </c>
      <c r="N63" s="109"/>
      <c r="O63" s="129">
        <f>SUM(J63+K63+L63+M63)</f>
        <v>17300200</v>
      </c>
    </row>
    <row r="64" spans="1:15" ht="15.75" x14ac:dyDescent="0.25">
      <c r="D64" s="130"/>
      <c r="H64" s="142"/>
      <c r="I64" s="142"/>
      <c r="J64" s="142"/>
      <c r="K64" s="143"/>
      <c r="L64" s="143"/>
      <c r="M64" s="143"/>
      <c r="N64" s="144"/>
      <c r="O64" s="145"/>
    </row>
    <row r="65" spans="4:15" ht="15.75" x14ac:dyDescent="0.25">
      <c r="D65" s="130"/>
      <c r="H65" s="216" t="s">
        <v>27</v>
      </c>
      <c r="I65" s="216"/>
      <c r="J65" s="217" t="s">
        <v>14</v>
      </c>
      <c r="K65" s="217"/>
      <c r="L65" s="218" t="s">
        <v>15</v>
      </c>
      <c r="M65" s="218"/>
      <c r="N65" s="136"/>
      <c r="O65" s="219"/>
    </row>
    <row r="66" spans="4:15" ht="15.75" x14ac:dyDescent="0.25">
      <c r="D66" s="130"/>
      <c r="H66" s="216"/>
      <c r="I66" s="216"/>
      <c r="J66" s="93" t="s">
        <v>17</v>
      </c>
      <c r="K66" s="146" t="s">
        <v>18</v>
      </c>
      <c r="L66" s="147" t="s">
        <v>17</v>
      </c>
      <c r="M66" s="147" t="s">
        <v>18</v>
      </c>
      <c r="N66" s="136"/>
      <c r="O66" s="219"/>
    </row>
    <row r="67" spans="4:15" ht="15.75" x14ac:dyDescent="0.25">
      <c r="D67" s="130"/>
      <c r="H67" s="216"/>
      <c r="I67" s="216"/>
      <c r="J67" s="127">
        <f>SUM(J42,J63)</f>
        <v>25426600</v>
      </c>
      <c r="K67" s="127">
        <f>SUM(K63+K42)</f>
        <v>0</v>
      </c>
      <c r="L67" s="128">
        <f>SUM(L63+L42)</f>
        <v>5077041</v>
      </c>
      <c r="M67" s="128">
        <f>SUM(M63+M42)</f>
        <v>0</v>
      </c>
      <c r="N67" s="109"/>
      <c r="O67" s="219"/>
    </row>
    <row r="68" spans="4:15" x14ac:dyDescent="0.25">
      <c r="D68" s="130"/>
      <c r="I68" s="131"/>
      <c r="J68" s="131"/>
    </row>
    <row r="69" spans="4:15" ht="18.75" x14ac:dyDescent="0.3">
      <c r="D69" s="130"/>
      <c r="H69" s="220"/>
      <c r="I69" s="220"/>
      <c r="J69" s="148"/>
      <c r="L69" s="234" t="s">
        <v>28</v>
      </c>
      <c r="M69" s="235"/>
      <c r="N69" s="156">
        <f>SUM(J67+L67)</f>
        <v>30503641</v>
      </c>
      <c r="O69" s="236">
        <f>SUM(N69+N70)</f>
        <v>30503641</v>
      </c>
    </row>
    <row r="70" spans="4:15" ht="18.75" x14ac:dyDescent="0.3">
      <c r="D70" s="130"/>
      <c r="H70" s="220"/>
      <c r="I70" s="220"/>
      <c r="J70" s="148"/>
      <c r="L70" s="234" t="s">
        <v>29</v>
      </c>
      <c r="M70" s="235"/>
      <c r="N70" s="156">
        <f>SUM(K67+M67)</f>
        <v>0</v>
      </c>
      <c r="O70" s="237"/>
    </row>
    <row r="71" spans="4:15" ht="18.75" x14ac:dyDescent="0.3">
      <c r="D71" s="130"/>
      <c r="H71" s="213"/>
      <c r="I71" s="213"/>
      <c r="J71" s="150"/>
      <c r="K71" s="151"/>
    </row>
    <row r="72" spans="4:15" x14ac:dyDescent="0.25">
      <c r="D72" s="89" t="s">
        <v>30</v>
      </c>
      <c r="E72" s="87"/>
      <c r="F72" s="87"/>
      <c r="G72" s="87"/>
      <c r="H72" s="87"/>
      <c r="I72" s="87"/>
      <c r="J72" s="87"/>
      <c r="K72" s="87"/>
    </row>
    <row r="73" spans="4:15" x14ac:dyDescent="0.25">
      <c r="D73" s="89"/>
      <c r="E73" s="87"/>
      <c r="F73" s="87"/>
      <c r="G73" s="87"/>
      <c r="H73" s="87"/>
      <c r="I73" s="87"/>
      <c r="J73" s="87"/>
      <c r="K73" s="87"/>
    </row>
    <row r="74" spans="4:15" x14ac:dyDescent="0.25">
      <c r="D74" s="90" t="s">
        <v>31</v>
      </c>
      <c r="E74" s="90"/>
      <c r="F74" s="90" t="s">
        <v>32</v>
      </c>
      <c r="G74" s="90"/>
      <c r="H74" s="90" t="s">
        <v>33</v>
      </c>
      <c r="I74" s="90"/>
      <c r="J74" s="90" t="s">
        <v>34</v>
      </c>
      <c r="K74" s="90"/>
    </row>
    <row r="75" spans="4:15" x14ac:dyDescent="0.25">
      <c r="D75" s="90"/>
      <c r="E75" s="90"/>
      <c r="F75" s="90"/>
      <c r="G75" s="90"/>
      <c r="H75" s="90"/>
      <c r="I75" s="90"/>
      <c r="J75" s="90"/>
      <c r="K75" s="90"/>
    </row>
    <row r="76" spans="4:15" x14ac:dyDescent="0.25">
      <c r="D76" s="90"/>
      <c r="E76" s="90"/>
      <c r="F76" s="90"/>
      <c r="G76" s="90"/>
      <c r="H76" s="90"/>
      <c r="I76" s="90"/>
      <c r="J76" s="90"/>
      <c r="K76" s="90"/>
    </row>
    <row r="77" spans="4:15" x14ac:dyDescent="0.25">
      <c r="D77" s="90"/>
      <c r="E77" s="90"/>
      <c r="F77" s="90"/>
      <c r="G77" s="90"/>
      <c r="H77" s="90"/>
      <c r="I77" s="90"/>
      <c r="J77" s="90"/>
      <c r="K77" s="90"/>
    </row>
    <row r="78" spans="4:15" x14ac:dyDescent="0.25">
      <c r="D78" s="90" t="s">
        <v>35</v>
      </c>
      <c r="E78" s="90"/>
      <c r="F78" s="90" t="s">
        <v>36</v>
      </c>
      <c r="G78" s="90"/>
      <c r="H78" s="90" t="s">
        <v>36</v>
      </c>
      <c r="I78" s="90"/>
      <c r="J78" s="90" t="s">
        <v>37</v>
      </c>
      <c r="K78" s="90"/>
    </row>
    <row r="79" spans="4:15" x14ac:dyDescent="0.25">
      <c r="D79" s="130"/>
    </row>
    <row r="80" spans="4:15" x14ac:dyDescent="0.25">
      <c r="D80" s="130"/>
    </row>
    <row r="81" spans="4:4" x14ac:dyDescent="0.25">
      <c r="D81" s="130"/>
    </row>
    <row r="82" spans="4:4" x14ac:dyDescent="0.25">
      <c r="D82" s="130"/>
    </row>
    <row r="83" spans="4:4" x14ac:dyDescent="0.25">
      <c r="D83" s="130"/>
    </row>
  </sheetData>
  <mergeCells count="48">
    <mergeCell ref="O45:O46"/>
    <mergeCell ref="J46:K46"/>
    <mergeCell ref="L46:M46"/>
    <mergeCell ref="H71:I71"/>
    <mergeCell ref="B53:I53"/>
    <mergeCell ref="B54:O54"/>
    <mergeCell ref="B61:I61"/>
    <mergeCell ref="H65:I67"/>
    <mergeCell ref="J65:K65"/>
    <mergeCell ref="L65:M65"/>
    <mergeCell ref="O65:O67"/>
    <mergeCell ref="H69:I69"/>
    <mergeCell ref="L69:M69"/>
    <mergeCell ref="O69:O70"/>
    <mergeCell ref="H70:I70"/>
    <mergeCell ref="L70:M70"/>
    <mergeCell ref="L7:M7"/>
    <mergeCell ref="G45:G46"/>
    <mergeCell ref="B19:O19"/>
    <mergeCell ref="B30:I30"/>
    <mergeCell ref="B31:O31"/>
    <mergeCell ref="B39:I39"/>
    <mergeCell ref="G42:I42"/>
    <mergeCell ref="B44:D44"/>
    <mergeCell ref="B45:B46"/>
    <mergeCell ref="C45:C46"/>
    <mergeCell ref="D45:D46"/>
    <mergeCell ref="E45:E46"/>
    <mergeCell ref="F45:F46"/>
    <mergeCell ref="H45:H46"/>
    <mergeCell ref="I45:I46"/>
    <mergeCell ref="J45:N45"/>
    <mergeCell ref="G63:I63"/>
    <mergeCell ref="B18:I18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CFB5-2695-47A1-B002-432AE699E23D}">
  <dimension ref="A2:Q88"/>
  <sheetViews>
    <sheetView topLeftCell="E61" workbookViewId="0">
      <selection activeCell="G68" sqref="G68:I68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710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637</v>
      </c>
      <c r="E9" s="14" t="s">
        <v>638</v>
      </c>
      <c r="F9" s="15" t="s">
        <v>639</v>
      </c>
      <c r="G9" s="16">
        <v>46168</v>
      </c>
      <c r="H9" s="16">
        <v>46181</v>
      </c>
      <c r="I9" s="17">
        <v>200800</v>
      </c>
      <c r="J9" s="18">
        <f>I9</f>
        <v>200800</v>
      </c>
      <c r="K9" s="19"/>
      <c r="L9" s="20"/>
      <c r="M9" s="20"/>
      <c r="N9" s="21" t="s">
        <v>155</v>
      </c>
      <c r="O9" s="22"/>
    </row>
    <row r="10" spans="2:17" x14ac:dyDescent="0.25">
      <c r="B10" s="11">
        <v>2</v>
      </c>
      <c r="C10" s="12"/>
      <c r="D10" s="13" t="s">
        <v>648</v>
      </c>
      <c r="E10" s="14" t="s">
        <v>165</v>
      </c>
      <c r="F10" s="15" t="s">
        <v>711</v>
      </c>
      <c r="G10" s="16">
        <v>46168</v>
      </c>
      <c r="H10" s="16">
        <v>46181</v>
      </c>
      <c r="I10" s="23">
        <v>357400</v>
      </c>
      <c r="J10" s="18">
        <f t="shared" ref="J10:J15" si="0">I10</f>
        <v>357400</v>
      </c>
      <c r="K10" s="19"/>
      <c r="L10" s="24"/>
      <c r="M10" s="24"/>
      <c r="N10" s="21" t="s">
        <v>155</v>
      </c>
      <c r="O10" s="22"/>
    </row>
    <row r="11" spans="2:17" x14ac:dyDescent="0.25">
      <c r="B11" s="11">
        <v>3</v>
      </c>
      <c r="C11" s="12"/>
      <c r="D11" s="13" t="s">
        <v>713</v>
      </c>
      <c r="E11" s="14" t="s">
        <v>714</v>
      </c>
      <c r="F11" s="15" t="s">
        <v>715</v>
      </c>
      <c r="G11" s="16">
        <v>46170</v>
      </c>
      <c r="H11" s="16">
        <v>46183</v>
      </c>
      <c r="I11" s="23">
        <v>328700</v>
      </c>
      <c r="J11" s="18">
        <f t="shared" si="0"/>
        <v>328700</v>
      </c>
      <c r="K11" s="19"/>
      <c r="L11" s="24"/>
      <c r="M11" s="24"/>
      <c r="N11" s="21" t="s">
        <v>155</v>
      </c>
      <c r="O11" s="22"/>
    </row>
    <row r="12" spans="2:17" x14ac:dyDescent="0.25">
      <c r="B12" s="11">
        <v>4</v>
      </c>
      <c r="C12" s="12"/>
      <c r="D12" s="13" t="s">
        <v>716</v>
      </c>
      <c r="E12" s="14" t="s">
        <v>717</v>
      </c>
      <c r="F12" s="15" t="s">
        <v>718</v>
      </c>
      <c r="G12" s="16">
        <v>46170</v>
      </c>
      <c r="H12" s="16">
        <v>46183</v>
      </c>
      <c r="I12" s="23">
        <v>215100</v>
      </c>
      <c r="J12" s="18">
        <f t="shared" si="0"/>
        <v>215100</v>
      </c>
      <c r="K12" s="19"/>
      <c r="L12" s="24"/>
      <c r="M12" s="24"/>
      <c r="N12" s="21" t="s">
        <v>155</v>
      </c>
      <c r="O12" s="22"/>
    </row>
    <row r="13" spans="2:17" x14ac:dyDescent="0.25">
      <c r="B13" s="11">
        <v>5</v>
      </c>
      <c r="C13" s="12"/>
      <c r="D13" s="13" t="s">
        <v>719</v>
      </c>
      <c r="E13" s="14" t="s">
        <v>720</v>
      </c>
      <c r="F13" s="15" t="s">
        <v>718</v>
      </c>
      <c r="G13" s="16">
        <v>46170</v>
      </c>
      <c r="H13" s="16">
        <v>46183</v>
      </c>
      <c r="I13" s="23">
        <v>328700</v>
      </c>
      <c r="J13" s="18">
        <v>150000</v>
      </c>
      <c r="K13" s="19"/>
      <c r="L13" s="24"/>
      <c r="M13" s="24"/>
      <c r="N13" s="22" t="s">
        <v>158</v>
      </c>
      <c r="O13" s="22"/>
    </row>
    <row r="14" spans="2:17" x14ac:dyDescent="0.25">
      <c r="B14" s="11">
        <v>6</v>
      </c>
      <c r="C14" s="12"/>
      <c r="D14" s="13" t="s">
        <v>721</v>
      </c>
      <c r="E14" s="14" t="s">
        <v>722</v>
      </c>
      <c r="F14" s="15" t="s">
        <v>718</v>
      </c>
      <c r="G14" s="16">
        <v>46170</v>
      </c>
      <c r="H14" s="16">
        <v>46183</v>
      </c>
      <c r="I14" s="23">
        <v>442300</v>
      </c>
      <c r="J14" s="18">
        <f t="shared" si="0"/>
        <v>442300</v>
      </c>
      <c r="K14" s="19"/>
      <c r="L14" s="24"/>
      <c r="M14" s="24"/>
      <c r="N14" s="21" t="s">
        <v>155</v>
      </c>
      <c r="O14" s="22"/>
    </row>
    <row r="15" spans="2:17" x14ac:dyDescent="0.25">
      <c r="B15" s="11">
        <v>7</v>
      </c>
      <c r="C15" s="12"/>
      <c r="D15" s="13" t="s">
        <v>723</v>
      </c>
      <c r="E15" s="14" t="s">
        <v>724</v>
      </c>
      <c r="F15" s="15" t="s">
        <v>718</v>
      </c>
      <c r="G15" s="16">
        <v>46170</v>
      </c>
      <c r="H15" s="16">
        <v>46183</v>
      </c>
      <c r="I15" s="23">
        <v>215100</v>
      </c>
      <c r="J15" s="18">
        <f t="shared" si="0"/>
        <v>215100</v>
      </c>
      <c r="K15" s="19"/>
      <c r="L15" s="24"/>
      <c r="M15" s="24"/>
      <c r="N15" s="21" t="s">
        <v>155</v>
      </c>
      <c r="O15" s="22"/>
    </row>
    <row r="16" spans="2:17" x14ac:dyDescent="0.25">
      <c r="B16" s="11">
        <v>8</v>
      </c>
      <c r="C16" s="12"/>
      <c r="D16" s="13" t="s">
        <v>725</v>
      </c>
      <c r="E16" s="14" t="s">
        <v>726</v>
      </c>
      <c r="F16" s="15" t="s">
        <v>727</v>
      </c>
      <c r="G16" s="16">
        <v>46168</v>
      </c>
      <c r="H16" s="16">
        <v>46181</v>
      </c>
      <c r="I16" s="23">
        <v>435000</v>
      </c>
      <c r="J16" s="18"/>
      <c r="K16" s="19"/>
      <c r="L16" s="24"/>
      <c r="M16" s="24">
        <v>435000</v>
      </c>
      <c r="N16" s="22" t="s">
        <v>792</v>
      </c>
      <c r="O16" s="22"/>
    </row>
    <row r="17" spans="2:15" x14ac:dyDescent="0.25">
      <c r="B17" s="11">
        <v>9</v>
      </c>
      <c r="C17" s="12"/>
      <c r="D17" s="13" t="s">
        <v>728</v>
      </c>
      <c r="E17" s="14" t="s">
        <v>729</v>
      </c>
      <c r="F17" s="15" t="s">
        <v>718</v>
      </c>
      <c r="G17" s="16">
        <v>46170</v>
      </c>
      <c r="H17" s="16">
        <v>46183</v>
      </c>
      <c r="I17" s="23">
        <v>425994</v>
      </c>
      <c r="J17" s="18"/>
      <c r="K17" s="19"/>
      <c r="L17" s="24">
        <f t="shared" ref="L17:L23" si="1">I17</f>
        <v>425994</v>
      </c>
      <c r="M17" s="24"/>
      <c r="N17" s="21" t="s">
        <v>155</v>
      </c>
      <c r="O17" s="22"/>
    </row>
    <row r="18" spans="2:15" x14ac:dyDescent="0.25">
      <c r="B18" s="11">
        <v>10</v>
      </c>
      <c r="C18" s="12"/>
      <c r="D18" s="13" t="s">
        <v>730</v>
      </c>
      <c r="E18" s="14" t="s">
        <v>717</v>
      </c>
      <c r="F18" s="15" t="s">
        <v>718</v>
      </c>
      <c r="G18" s="16">
        <v>46170</v>
      </c>
      <c r="H18" s="16">
        <v>46183</v>
      </c>
      <c r="I18" s="23">
        <v>138996</v>
      </c>
      <c r="J18" s="18"/>
      <c r="K18" s="19"/>
      <c r="L18" s="24">
        <f t="shared" si="1"/>
        <v>138996</v>
      </c>
      <c r="M18" s="24"/>
      <c r="N18" s="21" t="s">
        <v>155</v>
      </c>
      <c r="O18" s="22"/>
    </row>
    <row r="19" spans="2:15" x14ac:dyDescent="0.25">
      <c r="B19" s="11">
        <v>11</v>
      </c>
      <c r="C19" s="12"/>
      <c r="D19" s="13" t="s">
        <v>731</v>
      </c>
      <c r="E19" s="14" t="s">
        <v>732</v>
      </c>
      <c r="F19" s="15" t="s">
        <v>718</v>
      </c>
      <c r="G19" s="16">
        <v>46170</v>
      </c>
      <c r="H19" s="16">
        <v>46183</v>
      </c>
      <c r="I19" s="23">
        <v>694980</v>
      </c>
      <c r="J19" s="18"/>
      <c r="K19" s="19"/>
      <c r="L19" s="24">
        <f t="shared" si="1"/>
        <v>694980</v>
      </c>
      <c r="M19" s="24"/>
      <c r="N19" s="21" t="s">
        <v>155</v>
      </c>
      <c r="O19" s="22"/>
    </row>
    <row r="20" spans="2:15" x14ac:dyDescent="0.25">
      <c r="B20" s="11">
        <v>12</v>
      </c>
      <c r="C20" s="12"/>
      <c r="D20" s="13" t="s">
        <v>733</v>
      </c>
      <c r="E20" s="14" t="s">
        <v>724</v>
      </c>
      <c r="F20" s="15" t="s">
        <v>718</v>
      </c>
      <c r="G20" s="16">
        <v>46170</v>
      </c>
      <c r="H20" s="16">
        <v>46183</v>
      </c>
      <c r="I20" s="23">
        <v>138996</v>
      </c>
      <c r="J20" s="18"/>
      <c r="K20" s="19"/>
      <c r="L20" s="24">
        <f t="shared" si="1"/>
        <v>138996</v>
      </c>
      <c r="M20" s="24"/>
      <c r="N20" s="21" t="s">
        <v>155</v>
      </c>
      <c r="O20" s="22"/>
    </row>
    <row r="21" spans="2:15" x14ac:dyDescent="0.25">
      <c r="B21" s="11">
        <v>13</v>
      </c>
      <c r="C21" s="12"/>
      <c r="D21" s="13" t="s">
        <v>734</v>
      </c>
      <c r="E21" s="14" t="s">
        <v>714</v>
      </c>
      <c r="F21" s="15" t="s">
        <v>715</v>
      </c>
      <c r="G21" s="16">
        <v>46170</v>
      </c>
      <c r="H21" s="16">
        <v>46183</v>
      </c>
      <c r="I21" s="23">
        <v>1411200</v>
      </c>
      <c r="J21" s="18"/>
      <c r="K21" s="19"/>
      <c r="L21" s="24">
        <f t="shared" si="1"/>
        <v>1411200</v>
      </c>
      <c r="M21" s="24"/>
      <c r="N21" s="21" t="s">
        <v>155</v>
      </c>
      <c r="O21" s="22"/>
    </row>
    <row r="22" spans="2:15" x14ac:dyDescent="0.25">
      <c r="B22" s="11">
        <v>14</v>
      </c>
      <c r="C22" s="12"/>
      <c r="D22" s="13" t="s">
        <v>735</v>
      </c>
      <c r="E22" s="14" t="s">
        <v>736</v>
      </c>
      <c r="F22" s="15" t="s">
        <v>712</v>
      </c>
      <c r="G22" s="16">
        <v>46170</v>
      </c>
      <c r="H22" s="16">
        <v>46183</v>
      </c>
      <c r="I22" s="23">
        <v>462000</v>
      </c>
      <c r="J22" s="18"/>
      <c r="K22" s="19"/>
      <c r="L22" s="24">
        <f t="shared" si="1"/>
        <v>462000</v>
      </c>
      <c r="M22" s="24"/>
      <c r="N22" s="21" t="s">
        <v>155</v>
      </c>
      <c r="O22" s="22"/>
    </row>
    <row r="23" spans="2:15" x14ac:dyDescent="0.25">
      <c r="B23" s="11">
        <v>15</v>
      </c>
      <c r="C23" s="12"/>
      <c r="D23" s="13" t="s">
        <v>737</v>
      </c>
      <c r="E23" s="14" t="s">
        <v>722</v>
      </c>
      <c r="F23" s="15" t="s">
        <v>738</v>
      </c>
      <c r="G23" s="16">
        <v>46170</v>
      </c>
      <c r="H23" s="16">
        <v>46183</v>
      </c>
      <c r="I23" s="23">
        <v>285498</v>
      </c>
      <c r="J23" s="18"/>
      <c r="K23" s="19"/>
      <c r="L23" s="24">
        <f t="shared" si="1"/>
        <v>285498</v>
      </c>
      <c r="M23" s="24"/>
      <c r="N23" s="21" t="s">
        <v>155</v>
      </c>
      <c r="O23" s="22"/>
    </row>
    <row r="24" spans="2:15" ht="15.75" x14ac:dyDescent="0.25">
      <c r="B24" s="169" t="s">
        <v>13</v>
      </c>
      <c r="C24" s="170"/>
      <c r="D24" s="170"/>
      <c r="E24" s="170"/>
      <c r="F24" s="170"/>
      <c r="G24" s="170"/>
      <c r="H24" s="170"/>
      <c r="I24" s="171"/>
      <c r="J24" s="25">
        <f>SUM(J9:J23)</f>
        <v>1909400</v>
      </c>
      <c r="K24" s="26">
        <f>SUM(K9:K23)</f>
        <v>0</v>
      </c>
      <c r="L24" s="27">
        <f>SUM(L9:L23)</f>
        <v>3557664</v>
      </c>
      <c r="M24" s="28">
        <f>SUM(M9:M23)</f>
        <v>435000</v>
      </c>
      <c r="N24" s="29"/>
      <c r="O24" s="30">
        <f>SUM(J24+K24+L24+M24)</f>
        <v>5902064</v>
      </c>
    </row>
    <row r="25" spans="2:15" ht="15.75" x14ac:dyDescent="0.25">
      <c r="B25" s="190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</row>
    <row r="26" spans="2:15" x14ac:dyDescent="0.25">
      <c r="B26" s="11">
        <v>1</v>
      </c>
      <c r="C26" s="31" t="s">
        <v>20</v>
      </c>
      <c r="D26" s="13" t="s">
        <v>739</v>
      </c>
      <c r="E26" s="32" t="s">
        <v>740</v>
      </c>
      <c r="F26" s="33" t="s">
        <v>741</v>
      </c>
      <c r="G26" s="34">
        <v>46154</v>
      </c>
      <c r="H26" s="35">
        <v>46167</v>
      </c>
      <c r="I26" s="36">
        <v>327900</v>
      </c>
      <c r="J26" s="37">
        <f>I26</f>
        <v>327900</v>
      </c>
      <c r="K26" s="19"/>
      <c r="L26" s="24"/>
      <c r="M26" s="24"/>
      <c r="N26" s="21" t="s">
        <v>155</v>
      </c>
      <c r="O26" s="22"/>
    </row>
    <row r="27" spans="2:15" x14ac:dyDescent="0.25">
      <c r="B27" s="11">
        <v>2</v>
      </c>
      <c r="C27" s="31"/>
      <c r="D27" s="13" t="s">
        <v>742</v>
      </c>
      <c r="E27" s="32" t="s">
        <v>743</v>
      </c>
      <c r="F27" s="33" t="s">
        <v>657</v>
      </c>
      <c r="G27" s="34">
        <v>46154</v>
      </c>
      <c r="H27" s="35">
        <v>46167</v>
      </c>
      <c r="I27" s="36">
        <v>430200</v>
      </c>
      <c r="J27" s="37">
        <f t="shared" ref="J27:J33" si="2">I27</f>
        <v>430200</v>
      </c>
      <c r="K27" s="19"/>
      <c r="L27" s="24"/>
      <c r="M27" s="24"/>
      <c r="N27" s="21" t="s">
        <v>155</v>
      </c>
      <c r="O27" s="22"/>
    </row>
    <row r="28" spans="2:15" x14ac:dyDescent="0.25">
      <c r="B28" s="11">
        <v>3</v>
      </c>
      <c r="C28" s="31"/>
      <c r="D28" s="13" t="s">
        <v>745</v>
      </c>
      <c r="E28" s="32" t="s">
        <v>746</v>
      </c>
      <c r="F28" s="33" t="s">
        <v>747</v>
      </c>
      <c r="G28" s="34">
        <v>46155</v>
      </c>
      <c r="H28" s="35">
        <v>46168</v>
      </c>
      <c r="I28" s="36">
        <v>1302700</v>
      </c>
      <c r="J28" s="37">
        <f t="shared" si="2"/>
        <v>1302700</v>
      </c>
      <c r="K28" s="19"/>
      <c r="L28" s="24"/>
      <c r="M28" s="24"/>
      <c r="N28" s="21" t="s">
        <v>155</v>
      </c>
      <c r="O28" s="22"/>
    </row>
    <row r="29" spans="2:15" x14ac:dyDescent="0.25">
      <c r="B29" s="11">
        <v>4</v>
      </c>
      <c r="C29" s="31"/>
      <c r="D29" s="13" t="s">
        <v>748</v>
      </c>
      <c r="E29" s="32" t="s">
        <v>749</v>
      </c>
      <c r="F29" s="33" t="s">
        <v>747</v>
      </c>
      <c r="G29" s="34">
        <v>46155</v>
      </c>
      <c r="H29" s="35">
        <v>46168</v>
      </c>
      <c r="I29" s="36">
        <v>1302700</v>
      </c>
      <c r="J29" s="37">
        <f t="shared" si="2"/>
        <v>1302700</v>
      </c>
      <c r="K29" s="19"/>
      <c r="L29" s="24"/>
      <c r="M29" s="24"/>
      <c r="N29" s="21" t="s">
        <v>155</v>
      </c>
      <c r="O29" s="22"/>
    </row>
    <row r="30" spans="2:15" x14ac:dyDescent="0.25">
      <c r="B30" s="11">
        <v>5</v>
      </c>
      <c r="C30" s="31"/>
      <c r="D30" s="13" t="s">
        <v>750</v>
      </c>
      <c r="E30" s="32" t="s">
        <v>751</v>
      </c>
      <c r="F30" s="33" t="s">
        <v>752</v>
      </c>
      <c r="G30" s="34">
        <v>46170</v>
      </c>
      <c r="H30" s="35">
        <v>46183</v>
      </c>
      <c r="I30" s="36">
        <v>215100</v>
      </c>
      <c r="J30" s="37">
        <f t="shared" si="2"/>
        <v>215100</v>
      </c>
      <c r="K30" s="19"/>
      <c r="L30" s="24"/>
      <c r="M30" s="24"/>
      <c r="N30" s="21" t="s">
        <v>155</v>
      </c>
      <c r="O30" s="22"/>
    </row>
    <row r="31" spans="2:15" x14ac:dyDescent="0.25">
      <c r="B31" s="11">
        <v>6</v>
      </c>
      <c r="C31" s="31"/>
      <c r="D31" s="13" t="s">
        <v>753</v>
      </c>
      <c r="E31" s="32" t="s">
        <v>754</v>
      </c>
      <c r="F31" s="33" t="s">
        <v>755</v>
      </c>
      <c r="G31" s="34">
        <v>46170</v>
      </c>
      <c r="H31" s="35">
        <v>46183</v>
      </c>
      <c r="I31" s="36">
        <v>215100</v>
      </c>
      <c r="J31" s="37">
        <f t="shared" si="2"/>
        <v>215100</v>
      </c>
      <c r="K31" s="19"/>
      <c r="L31" s="24"/>
      <c r="M31" s="24"/>
      <c r="N31" s="21" t="s">
        <v>155</v>
      </c>
      <c r="O31" s="22"/>
    </row>
    <row r="32" spans="2:15" x14ac:dyDescent="0.25">
      <c r="B32" s="11">
        <v>7</v>
      </c>
      <c r="C32" s="31"/>
      <c r="D32" s="13" t="s">
        <v>757</v>
      </c>
      <c r="E32" s="32" t="s">
        <v>758</v>
      </c>
      <c r="F32" s="33" t="s">
        <v>756</v>
      </c>
      <c r="G32" s="34">
        <v>46170</v>
      </c>
      <c r="H32" s="35">
        <v>46183</v>
      </c>
      <c r="I32" s="36">
        <v>328700</v>
      </c>
      <c r="J32" s="37">
        <f t="shared" si="2"/>
        <v>328700</v>
      </c>
      <c r="K32" s="19"/>
      <c r="L32" s="24"/>
      <c r="M32" s="24"/>
      <c r="N32" s="21" t="s">
        <v>155</v>
      </c>
      <c r="O32" s="22"/>
    </row>
    <row r="33" spans="2:15" x14ac:dyDescent="0.25">
      <c r="B33" s="11">
        <v>8</v>
      </c>
      <c r="C33" s="31"/>
      <c r="D33" s="13" t="s">
        <v>759</v>
      </c>
      <c r="E33" s="32" t="s">
        <v>760</v>
      </c>
      <c r="F33" s="33" t="s">
        <v>744</v>
      </c>
      <c r="G33" s="34">
        <v>46170</v>
      </c>
      <c r="H33" s="35">
        <v>46183</v>
      </c>
      <c r="I33" s="36">
        <v>430200</v>
      </c>
      <c r="J33" s="37">
        <f t="shared" si="2"/>
        <v>430200</v>
      </c>
      <c r="K33" s="19"/>
      <c r="L33" s="24"/>
      <c r="M33" s="24"/>
      <c r="N33" s="21" t="s">
        <v>155</v>
      </c>
      <c r="O33" s="22"/>
    </row>
    <row r="34" spans="2:15" x14ac:dyDescent="0.25">
      <c r="B34" s="11">
        <v>9</v>
      </c>
      <c r="C34" s="31"/>
      <c r="D34" s="13" t="s">
        <v>761</v>
      </c>
      <c r="E34" s="32" t="s">
        <v>746</v>
      </c>
      <c r="F34" s="33" t="s">
        <v>747</v>
      </c>
      <c r="G34" s="34">
        <v>46155</v>
      </c>
      <c r="H34" s="35">
        <v>46168</v>
      </c>
      <c r="I34" s="36">
        <v>216000</v>
      </c>
      <c r="J34" s="37"/>
      <c r="K34" s="19"/>
      <c r="L34" s="24">
        <f>I34</f>
        <v>216000</v>
      </c>
      <c r="M34" s="24"/>
      <c r="N34" s="21" t="s">
        <v>155</v>
      </c>
      <c r="O34" s="22"/>
    </row>
    <row r="35" spans="2:15" x14ac:dyDescent="0.25">
      <c r="B35" s="11">
        <v>10</v>
      </c>
      <c r="C35" s="31"/>
      <c r="D35" s="13" t="s">
        <v>762</v>
      </c>
      <c r="E35" s="32" t="s">
        <v>675</v>
      </c>
      <c r="F35" s="33" t="s">
        <v>268</v>
      </c>
      <c r="G35" s="34">
        <v>46168</v>
      </c>
      <c r="H35" s="35">
        <v>46181</v>
      </c>
      <c r="I35" s="36">
        <v>254700</v>
      </c>
      <c r="J35" s="37"/>
      <c r="K35" s="19"/>
      <c r="L35" s="24">
        <f t="shared" ref="L35:L37" si="3">I35</f>
        <v>254700</v>
      </c>
      <c r="M35" s="24"/>
      <c r="N35" s="21" t="s">
        <v>155</v>
      </c>
      <c r="O35" s="22"/>
    </row>
    <row r="36" spans="2:15" x14ac:dyDescent="0.25">
      <c r="B36" s="11">
        <v>11</v>
      </c>
      <c r="C36" s="31"/>
      <c r="D36" s="13" t="s">
        <v>763</v>
      </c>
      <c r="E36" s="32" t="s">
        <v>764</v>
      </c>
      <c r="F36" s="33" t="s">
        <v>752</v>
      </c>
      <c r="G36" s="34">
        <v>46170</v>
      </c>
      <c r="H36" s="35">
        <v>46183</v>
      </c>
      <c r="I36" s="36">
        <v>69498</v>
      </c>
      <c r="J36" s="37"/>
      <c r="K36" s="19"/>
      <c r="L36" s="24">
        <f t="shared" si="3"/>
        <v>69498</v>
      </c>
      <c r="M36" s="24"/>
      <c r="N36" s="21" t="s">
        <v>155</v>
      </c>
      <c r="O36" s="22"/>
    </row>
    <row r="37" spans="2:15" x14ac:dyDescent="0.25">
      <c r="B37" s="11">
        <v>12</v>
      </c>
      <c r="C37" s="31"/>
      <c r="D37" s="13" t="s">
        <v>765</v>
      </c>
      <c r="E37" s="32" t="s">
        <v>758</v>
      </c>
      <c r="F37" s="33" t="s">
        <v>756</v>
      </c>
      <c r="G37" s="34">
        <v>46170</v>
      </c>
      <c r="H37" s="35">
        <v>46183</v>
      </c>
      <c r="I37" s="36">
        <v>348000</v>
      </c>
      <c r="J37" s="37"/>
      <c r="K37" s="19"/>
      <c r="L37" s="24">
        <f t="shared" si="3"/>
        <v>348000</v>
      </c>
      <c r="M37" s="24"/>
      <c r="N37" s="21" t="s">
        <v>155</v>
      </c>
      <c r="O37" s="22"/>
    </row>
    <row r="38" spans="2:15" ht="15.75" x14ac:dyDescent="0.25">
      <c r="B38" s="192" t="s">
        <v>13</v>
      </c>
      <c r="C38" s="193"/>
      <c r="D38" s="193"/>
      <c r="E38" s="193"/>
      <c r="F38" s="193"/>
      <c r="G38" s="193"/>
      <c r="H38" s="193"/>
      <c r="I38" s="194"/>
      <c r="J38" s="38">
        <f>SUM(J26:J37)</f>
        <v>4552600</v>
      </c>
      <c r="K38" s="26">
        <f>SUM(K26:K37)</f>
        <v>0</v>
      </c>
      <c r="L38" s="27">
        <f>SUM(L26:L37)</f>
        <v>888198</v>
      </c>
      <c r="M38" s="27">
        <f>SUM(M26:M37)</f>
        <v>0</v>
      </c>
      <c r="N38" s="39"/>
      <c r="O38" s="40">
        <f>SUM(J38+K38+L38+M38)</f>
        <v>5440798</v>
      </c>
    </row>
    <row r="39" spans="2:15" ht="15.75" x14ac:dyDescent="0.25">
      <c r="B39" s="195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</row>
    <row r="40" spans="2:15" ht="15.75" x14ac:dyDescent="0.25">
      <c r="B40" s="42">
        <v>1</v>
      </c>
      <c r="C40" s="43" t="s">
        <v>21</v>
      </c>
      <c r="D40" s="44" t="s">
        <v>766</v>
      </c>
      <c r="E40" s="45" t="s">
        <v>429</v>
      </c>
      <c r="F40" s="45" t="s">
        <v>767</v>
      </c>
      <c r="G40" s="46">
        <v>46170</v>
      </c>
      <c r="H40" s="46">
        <v>46183</v>
      </c>
      <c r="I40" s="47">
        <v>215100</v>
      </c>
      <c r="J40" s="48">
        <f>I40</f>
        <v>215100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2</v>
      </c>
      <c r="C41" s="43"/>
      <c r="D41" s="44" t="s">
        <v>768</v>
      </c>
      <c r="E41" s="45" t="s">
        <v>769</v>
      </c>
      <c r="F41" s="45" t="s">
        <v>770</v>
      </c>
      <c r="G41" s="46">
        <v>46170</v>
      </c>
      <c r="H41" s="46">
        <v>46183</v>
      </c>
      <c r="I41" s="47">
        <v>215100</v>
      </c>
      <c r="J41" s="48">
        <f t="shared" ref="J41:J43" si="4">I41</f>
        <v>215100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3</v>
      </c>
      <c r="C42" s="43"/>
      <c r="D42" s="44" t="s">
        <v>771</v>
      </c>
      <c r="E42" s="45" t="s">
        <v>772</v>
      </c>
      <c r="F42" s="45" t="s">
        <v>773</v>
      </c>
      <c r="G42" s="46">
        <v>46170</v>
      </c>
      <c r="H42" s="46">
        <v>46183</v>
      </c>
      <c r="I42" s="47">
        <v>215100</v>
      </c>
      <c r="J42" s="48">
        <f t="shared" si="4"/>
        <v>215100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4</v>
      </c>
      <c r="C43" s="43"/>
      <c r="D43" s="44" t="s">
        <v>774</v>
      </c>
      <c r="E43" s="45" t="s">
        <v>775</v>
      </c>
      <c r="F43" s="45" t="s">
        <v>776</v>
      </c>
      <c r="G43" s="46">
        <v>46170</v>
      </c>
      <c r="H43" s="46">
        <v>46183</v>
      </c>
      <c r="I43" s="47">
        <v>657400</v>
      </c>
      <c r="J43" s="48">
        <f t="shared" si="4"/>
        <v>657400</v>
      </c>
      <c r="K43" s="49"/>
      <c r="L43" s="50"/>
      <c r="M43" s="50"/>
      <c r="N43" s="22" t="s">
        <v>155</v>
      </c>
      <c r="O43" s="42"/>
    </row>
    <row r="44" spans="2:15" ht="15.75" x14ac:dyDescent="0.25">
      <c r="B44" s="42">
        <v>5</v>
      </c>
      <c r="C44" s="43"/>
      <c r="D44" s="44" t="s">
        <v>777</v>
      </c>
      <c r="E44" s="45" t="s">
        <v>775</v>
      </c>
      <c r="F44" s="45" t="s">
        <v>776</v>
      </c>
      <c r="G44" s="46">
        <v>46170</v>
      </c>
      <c r="H44" s="46">
        <v>46183</v>
      </c>
      <c r="I44" s="47">
        <v>69498</v>
      </c>
      <c r="J44" s="48"/>
      <c r="K44" s="49"/>
      <c r="L44" s="51">
        <f>I44</f>
        <v>69498</v>
      </c>
      <c r="M44" s="50"/>
      <c r="N44" s="22" t="s">
        <v>155</v>
      </c>
      <c r="O44" s="42"/>
    </row>
    <row r="45" spans="2:15" ht="15.75" x14ac:dyDescent="0.25">
      <c r="B45" s="42">
        <v>6</v>
      </c>
      <c r="C45" s="43"/>
      <c r="D45" s="44" t="s">
        <v>778</v>
      </c>
      <c r="E45" s="45" t="s">
        <v>429</v>
      </c>
      <c r="F45" s="45" t="s">
        <v>767</v>
      </c>
      <c r="G45" s="46">
        <v>46170</v>
      </c>
      <c r="H45" s="46">
        <v>46183</v>
      </c>
      <c r="I45" s="47">
        <v>80000</v>
      </c>
      <c r="J45" s="48"/>
      <c r="K45" s="49"/>
      <c r="L45" s="51">
        <f>I45</f>
        <v>80000</v>
      </c>
      <c r="M45" s="50"/>
      <c r="N45" s="22" t="s">
        <v>155</v>
      </c>
      <c r="O45" s="42"/>
    </row>
    <row r="46" spans="2:15" ht="15.75" x14ac:dyDescent="0.25">
      <c r="B46" s="197" t="s">
        <v>13</v>
      </c>
      <c r="C46" s="198"/>
      <c r="D46" s="198"/>
      <c r="E46" s="198"/>
      <c r="F46" s="198"/>
      <c r="G46" s="198"/>
      <c r="H46" s="198"/>
      <c r="I46" s="199"/>
      <c r="J46" s="52">
        <f>SUM(J40:J45)</f>
        <v>1302700</v>
      </c>
      <c r="K46" s="53">
        <f>SUM(K40:K45)</f>
        <v>0</v>
      </c>
      <c r="L46" s="54">
        <f>SUM(L40:L45)</f>
        <v>149498</v>
      </c>
      <c r="M46" s="54">
        <f>SUM(M40:M45)</f>
        <v>0</v>
      </c>
      <c r="N46" s="55"/>
      <c r="O46" s="56">
        <f>SUM(J46+K46+L46+M46)</f>
        <v>1452198</v>
      </c>
    </row>
    <row r="47" spans="2:15" x14ac:dyDescent="0.25">
      <c r="D47" s="57"/>
      <c r="I47" s="58"/>
      <c r="J47" s="58"/>
    </row>
    <row r="48" spans="2:15" x14ac:dyDescent="0.25">
      <c r="D48" s="57"/>
      <c r="I48" s="58"/>
      <c r="J48" s="58"/>
    </row>
    <row r="49" spans="2:15" ht="15.75" x14ac:dyDescent="0.25">
      <c r="D49" s="57"/>
      <c r="G49" s="200" t="s">
        <v>22</v>
      </c>
      <c r="H49" s="200"/>
      <c r="I49" s="200"/>
      <c r="J49" s="59">
        <f>SUM(J46+J38+J24)</f>
        <v>7764700</v>
      </c>
      <c r="K49" s="26">
        <f>SUM(K46+K38+K24)</f>
        <v>0</v>
      </c>
      <c r="L49" s="60">
        <f>SUM(L46+L38+L24)</f>
        <v>4595360</v>
      </c>
      <c r="M49" s="60">
        <f>SUM(M46+M38+M24)</f>
        <v>435000</v>
      </c>
      <c r="N49" s="39"/>
      <c r="O49" s="30">
        <f>SUM(J49+K49+L49+M49)</f>
        <v>12795060</v>
      </c>
    </row>
    <row r="50" spans="2:15" x14ac:dyDescent="0.25">
      <c r="D50" s="57"/>
      <c r="I50" s="58"/>
      <c r="J50" s="58"/>
    </row>
    <row r="51" spans="2:15" x14ac:dyDescent="0.25">
      <c r="B51" s="201" t="s">
        <v>17</v>
      </c>
      <c r="C51" s="201"/>
      <c r="D51" s="201"/>
      <c r="I51" s="58"/>
      <c r="J51" s="58"/>
    </row>
    <row r="52" spans="2:15" ht="15.75" x14ac:dyDescent="0.25">
      <c r="B52" s="188" t="s">
        <v>4</v>
      </c>
      <c r="C52" s="202" t="s">
        <v>23</v>
      </c>
      <c r="D52" s="188" t="s">
        <v>6</v>
      </c>
      <c r="E52" s="188" t="s">
        <v>7</v>
      </c>
      <c r="F52" s="188" t="s">
        <v>8</v>
      </c>
      <c r="G52" s="188" t="s">
        <v>9</v>
      </c>
      <c r="H52" s="188" t="s">
        <v>10</v>
      </c>
      <c r="I52" s="202" t="s">
        <v>24</v>
      </c>
      <c r="J52" s="169" t="s">
        <v>12</v>
      </c>
      <c r="K52" s="170"/>
      <c r="L52" s="170"/>
      <c r="M52" s="170"/>
      <c r="N52" s="171"/>
      <c r="O52" s="204" t="s">
        <v>13</v>
      </c>
    </row>
    <row r="53" spans="2:15" ht="15.75" x14ac:dyDescent="0.25">
      <c r="B53" s="189"/>
      <c r="C53" s="203"/>
      <c r="D53" s="189"/>
      <c r="E53" s="189"/>
      <c r="F53" s="189"/>
      <c r="G53" s="189"/>
      <c r="H53" s="189"/>
      <c r="I53" s="203"/>
      <c r="J53" s="164" t="s">
        <v>14</v>
      </c>
      <c r="K53" s="165"/>
      <c r="L53" s="166" t="s">
        <v>15</v>
      </c>
      <c r="M53" s="167"/>
      <c r="N53" s="4" t="s">
        <v>16</v>
      </c>
      <c r="O53" s="205"/>
    </row>
    <row r="54" spans="2:15" ht="15.75" x14ac:dyDescent="0.25">
      <c r="B54" s="5"/>
      <c r="C54" s="61"/>
      <c r="D54" s="5"/>
      <c r="E54" s="5"/>
      <c r="F54" s="5"/>
      <c r="G54" s="5"/>
      <c r="H54" s="5"/>
      <c r="I54" s="61"/>
      <c r="J54" s="62" t="s">
        <v>17</v>
      </c>
      <c r="K54" s="6" t="s">
        <v>18</v>
      </c>
      <c r="L54" s="10" t="s">
        <v>17</v>
      </c>
      <c r="M54" s="10" t="s">
        <v>18</v>
      </c>
      <c r="N54" s="4"/>
      <c r="O54" s="7"/>
    </row>
    <row r="55" spans="2:15" ht="15" customHeight="1" x14ac:dyDescent="0.25">
      <c r="B55" s="63">
        <v>1</v>
      </c>
      <c r="C55" s="43" t="s">
        <v>154</v>
      </c>
      <c r="D55" s="64" t="s">
        <v>779</v>
      </c>
      <c r="E55" s="65" t="s">
        <v>780</v>
      </c>
      <c r="F55" s="65" t="s">
        <v>781</v>
      </c>
      <c r="G55" s="66">
        <v>46182</v>
      </c>
      <c r="H55" s="66"/>
      <c r="I55" s="67">
        <v>645300</v>
      </c>
      <c r="J55" s="37">
        <f>I55</f>
        <v>645300</v>
      </c>
      <c r="K55" s="68"/>
      <c r="L55" s="69"/>
      <c r="M55" s="69"/>
      <c r="N55" s="22" t="s">
        <v>155</v>
      </c>
      <c r="O55" s="70"/>
    </row>
    <row r="56" spans="2:15" ht="15" customHeight="1" x14ac:dyDescent="0.25">
      <c r="B56" s="63">
        <v>2</v>
      </c>
      <c r="C56" s="43" t="s">
        <v>154</v>
      </c>
      <c r="D56" s="71" t="s">
        <v>782</v>
      </c>
      <c r="E56" s="71" t="s">
        <v>783</v>
      </c>
      <c r="F56" s="70" t="s">
        <v>784</v>
      </c>
      <c r="G56" s="66">
        <v>46182</v>
      </c>
      <c r="H56" s="72"/>
      <c r="I56" s="22">
        <v>328700</v>
      </c>
      <c r="J56" s="37">
        <f t="shared" ref="J56:J58" si="5">I56</f>
        <v>328700</v>
      </c>
      <c r="K56" s="68"/>
      <c r="L56" s="24"/>
      <c r="M56" s="69"/>
      <c r="N56" s="22" t="s">
        <v>155</v>
      </c>
      <c r="O56" s="70"/>
    </row>
    <row r="57" spans="2:15" ht="15" customHeight="1" x14ac:dyDescent="0.25">
      <c r="B57" s="63">
        <v>3</v>
      </c>
      <c r="C57" s="43" t="s">
        <v>154</v>
      </c>
      <c r="D57" s="71" t="s">
        <v>785</v>
      </c>
      <c r="E57" s="71" t="s">
        <v>786</v>
      </c>
      <c r="F57" s="70" t="s">
        <v>784</v>
      </c>
      <c r="G57" s="66">
        <v>46182</v>
      </c>
      <c r="H57" s="72"/>
      <c r="I57" s="22">
        <v>1063000</v>
      </c>
      <c r="J57" s="37">
        <f t="shared" si="5"/>
        <v>1063000</v>
      </c>
      <c r="K57" s="68"/>
      <c r="L57" s="24"/>
      <c r="M57" s="69"/>
      <c r="N57" s="22" t="s">
        <v>155</v>
      </c>
      <c r="O57" s="70"/>
    </row>
    <row r="58" spans="2:15" ht="15" customHeight="1" x14ac:dyDescent="0.25">
      <c r="B58" s="63">
        <v>4</v>
      </c>
      <c r="C58" s="43" t="s">
        <v>154</v>
      </c>
      <c r="D58" s="71" t="s">
        <v>787</v>
      </c>
      <c r="E58" s="71" t="s">
        <v>788</v>
      </c>
      <c r="F58" s="70" t="s">
        <v>110</v>
      </c>
      <c r="G58" s="66">
        <v>46182</v>
      </c>
      <c r="H58" s="72"/>
      <c r="I58" s="22">
        <v>555500</v>
      </c>
      <c r="J58" s="37">
        <f t="shared" si="5"/>
        <v>555500</v>
      </c>
      <c r="K58" s="68"/>
      <c r="L58" s="24"/>
      <c r="M58" s="69"/>
      <c r="N58" s="22" t="s">
        <v>155</v>
      </c>
      <c r="O58" s="70"/>
    </row>
    <row r="59" spans="2:15" ht="15" customHeight="1" x14ac:dyDescent="0.25">
      <c r="B59" s="63">
        <v>5</v>
      </c>
      <c r="C59" s="43" t="s">
        <v>154</v>
      </c>
      <c r="D59" s="71" t="s">
        <v>789</v>
      </c>
      <c r="E59" s="71" t="s">
        <v>780</v>
      </c>
      <c r="F59" s="70" t="s">
        <v>781</v>
      </c>
      <c r="G59" s="66">
        <v>46182</v>
      </c>
      <c r="H59" s="72"/>
      <c r="I59" s="22">
        <v>128498</v>
      </c>
      <c r="J59" s="37"/>
      <c r="K59" s="68"/>
      <c r="L59" s="24">
        <f>I59</f>
        <v>128498</v>
      </c>
      <c r="M59" s="69"/>
      <c r="N59" s="22" t="s">
        <v>155</v>
      </c>
      <c r="O59" s="70"/>
    </row>
    <row r="60" spans="2:15" ht="15" customHeight="1" x14ac:dyDescent="0.25">
      <c r="B60" s="63">
        <v>6</v>
      </c>
      <c r="C60" s="43" t="s">
        <v>243</v>
      </c>
      <c r="D60" s="71" t="s">
        <v>790</v>
      </c>
      <c r="E60" s="71" t="s">
        <v>695</v>
      </c>
      <c r="F60" s="70" t="s">
        <v>240</v>
      </c>
      <c r="G60" s="66">
        <v>46182</v>
      </c>
      <c r="H60" s="72"/>
      <c r="I60" s="22">
        <v>490800</v>
      </c>
      <c r="J60" s="37"/>
      <c r="K60" s="68"/>
      <c r="L60" s="24">
        <v>490800</v>
      </c>
      <c r="M60" s="69"/>
      <c r="N60" s="22" t="s">
        <v>155</v>
      </c>
      <c r="O60" s="70"/>
    </row>
    <row r="61" spans="2:15" ht="15" customHeight="1" x14ac:dyDescent="0.25">
      <c r="B61" s="63">
        <v>7</v>
      </c>
      <c r="C61" s="43" t="s">
        <v>243</v>
      </c>
      <c r="D61" s="71" t="s">
        <v>791</v>
      </c>
      <c r="E61" s="71" t="s">
        <v>695</v>
      </c>
      <c r="F61" s="70" t="s">
        <v>240</v>
      </c>
      <c r="G61" s="66">
        <v>46182</v>
      </c>
      <c r="H61" s="72"/>
      <c r="I61" s="22">
        <v>652500</v>
      </c>
      <c r="J61" s="37"/>
      <c r="K61" s="68"/>
      <c r="L61" s="24">
        <f t="shared" ref="L61" si="6">I61</f>
        <v>652500</v>
      </c>
      <c r="M61" s="69"/>
      <c r="N61" s="22" t="s">
        <v>155</v>
      </c>
      <c r="O61" s="70"/>
    </row>
    <row r="62" spans="2:15" ht="15.75" x14ac:dyDescent="0.25">
      <c r="B62" s="169" t="s">
        <v>25</v>
      </c>
      <c r="C62" s="170"/>
      <c r="D62" s="170"/>
      <c r="E62" s="170"/>
      <c r="F62" s="170"/>
      <c r="G62" s="170"/>
      <c r="H62" s="170"/>
      <c r="I62" s="171"/>
      <c r="J62" s="25">
        <f>SUM(J55:J61)</f>
        <v>2592500</v>
      </c>
      <c r="K62" s="74">
        <f>SUM(K55:K61)</f>
        <v>0</v>
      </c>
      <c r="L62" s="60">
        <f>SUM(L55:L61)</f>
        <v>1271798</v>
      </c>
      <c r="M62" s="60">
        <f>SUM(M55:M61)</f>
        <v>0</v>
      </c>
      <c r="N62" s="39"/>
      <c r="O62" s="75">
        <f>SUM(J62+K62+L62+M62)</f>
        <v>3864298</v>
      </c>
    </row>
    <row r="63" spans="2:15" ht="15.75" x14ac:dyDescent="0.25">
      <c r="B63" s="172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</row>
    <row r="64" spans="2:15" x14ac:dyDescent="0.25">
      <c r="B64" s="44">
        <v>1</v>
      </c>
      <c r="C64" s="12" t="s">
        <v>330</v>
      </c>
      <c r="D64" s="71" t="s">
        <v>793</v>
      </c>
      <c r="E64" s="71" t="s">
        <v>794</v>
      </c>
      <c r="F64" s="70" t="s">
        <v>795</v>
      </c>
      <c r="G64" s="66">
        <v>46182</v>
      </c>
      <c r="H64" s="72"/>
      <c r="I64" s="22">
        <v>564000</v>
      </c>
      <c r="J64" s="73"/>
      <c r="K64" s="68"/>
      <c r="L64" s="24">
        <f>I64</f>
        <v>564000</v>
      </c>
      <c r="M64" s="69"/>
      <c r="N64" s="22" t="s">
        <v>155</v>
      </c>
      <c r="O64" s="70"/>
    </row>
    <row r="65" spans="1:15" x14ac:dyDescent="0.25">
      <c r="B65" s="44">
        <v>2</v>
      </c>
      <c r="C65" s="12"/>
      <c r="D65" s="71"/>
      <c r="E65" s="71"/>
      <c r="F65" s="70"/>
      <c r="G65" s="66"/>
      <c r="H65" s="72"/>
      <c r="I65" s="22"/>
      <c r="J65" s="73"/>
      <c r="K65" s="68"/>
      <c r="L65" s="24" t="s">
        <v>3</v>
      </c>
      <c r="M65" s="24"/>
      <c r="N65" s="22"/>
      <c r="O65" s="70"/>
    </row>
    <row r="66" spans="1:15" ht="15.75" x14ac:dyDescent="0.25">
      <c r="A66" t="s">
        <v>3</v>
      </c>
      <c r="B66" s="169" t="s">
        <v>25</v>
      </c>
      <c r="C66" s="170"/>
      <c r="D66" s="170"/>
      <c r="E66" s="170"/>
      <c r="F66" s="170"/>
      <c r="G66" s="170"/>
      <c r="H66" s="170"/>
      <c r="I66" s="171"/>
      <c r="J66" s="76">
        <f>SUM(J64:J65)</f>
        <v>0</v>
      </c>
      <c r="K66" s="74">
        <f>SUM(K64:K65)</f>
        <v>0</v>
      </c>
      <c r="L66" s="60">
        <f>SUM(L64:L65)</f>
        <v>564000</v>
      </c>
      <c r="M66" s="60">
        <f>SUM(M64:M65)</f>
        <v>0</v>
      </c>
      <c r="N66" s="39"/>
      <c r="O66" s="75">
        <f>SUM(J66+K66+L66+M66)</f>
        <v>564000</v>
      </c>
    </row>
    <row r="67" spans="1:15" x14ac:dyDescent="0.25">
      <c r="D67" s="57"/>
      <c r="I67" s="58"/>
      <c r="J67" s="58"/>
    </row>
    <row r="68" spans="1:15" ht="15.75" x14ac:dyDescent="0.25">
      <c r="D68" s="57"/>
      <c r="G68" s="162" t="s">
        <v>1646</v>
      </c>
      <c r="H68" s="162"/>
      <c r="I68" s="163"/>
      <c r="J68" s="25">
        <f>SUM(J66+J62)</f>
        <v>2592500</v>
      </c>
      <c r="K68" s="74">
        <f>SUM(K66+K62)</f>
        <v>0</v>
      </c>
      <c r="L68" s="60">
        <f>SUM(L66+L62)</f>
        <v>1835798</v>
      </c>
      <c r="M68" s="60">
        <f>SUM(M66+M62)</f>
        <v>0</v>
      </c>
      <c r="N68" s="39"/>
      <c r="O68" s="77">
        <f>SUM(J68+K68+L68+M68)</f>
        <v>4428298</v>
      </c>
    </row>
    <row r="69" spans="1:15" ht="15.75" x14ac:dyDescent="0.25">
      <c r="D69" s="57"/>
      <c r="H69" s="41"/>
      <c r="I69" s="41"/>
      <c r="J69" s="41"/>
      <c r="K69" s="78"/>
      <c r="L69" s="78"/>
      <c r="M69" s="78"/>
      <c r="N69" s="79"/>
      <c r="O69" s="80"/>
    </row>
    <row r="70" spans="1:15" ht="15.75" x14ac:dyDescent="0.25">
      <c r="D70" s="57"/>
      <c r="H70" s="174" t="s">
        <v>27</v>
      </c>
      <c r="I70" s="175"/>
      <c r="J70" s="180" t="s">
        <v>14</v>
      </c>
      <c r="K70" s="180"/>
      <c r="L70" s="181" t="s">
        <v>15</v>
      </c>
      <c r="M70" s="181"/>
      <c r="N70" s="70"/>
      <c r="O70" s="182"/>
    </row>
    <row r="71" spans="1:15" ht="15.75" x14ac:dyDescent="0.25">
      <c r="D71" s="57"/>
      <c r="H71" s="176"/>
      <c r="I71" s="177"/>
      <c r="J71" s="6" t="s">
        <v>17</v>
      </c>
      <c r="K71" s="81" t="s">
        <v>18</v>
      </c>
      <c r="L71" s="82" t="s">
        <v>17</v>
      </c>
      <c r="M71" s="82" t="s">
        <v>18</v>
      </c>
      <c r="N71" s="70"/>
      <c r="O71" s="182"/>
    </row>
    <row r="72" spans="1:15" ht="15.75" x14ac:dyDescent="0.25">
      <c r="D72" s="57"/>
      <c r="H72" s="178"/>
      <c r="I72" s="179"/>
      <c r="J72" s="74">
        <f>SUM(J49,J68)</f>
        <v>10357200</v>
      </c>
      <c r="K72" s="74">
        <f>SUM(K68+K49)</f>
        <v>0</v>
      </c>
      <c r="L72" s="60">
        <f>SUM(L68+L49)</f>
        <v>6431158</v>
      </c>
      <c r="M72" s="60">
        <f>SUM(M68+M49)</f>
        <v>435000</v>
      </c>
      <c r="N72" s="39"/>
      <c r="O72" s="182"/>
    </row>
    <row r="73" spans="1:15" x14ac:dyDescent="0.25">
      <c r="D73" s="57"/>
      <c r="I73" s="58"/>
      <c r="J73" s="58"/>
    </row>
    <row r="74" spans="1:15" ht="18.75" x14ac:dyDescent="0.3">
      <c r="D74" s="57"/>
      <c r="H74" s="183"/>
      <c r="I74" s="183"/>
      <c r="J74" s="83"/>
      <c r="L74" s="184" t="s">
        <v>28</v>
      </c>
      <c r="M74" s="185"/>
      <c r="N74" s="84">
        <f>SUM(J72+L72)</f>
        <v>16788358</v>
      </c>
      <c r="O74" s="186">
        <f>SUM(N74+N75)</f>
        <v>17223358</v>
      </c>
    </row>
    <row r="75" spans="1:15" ht="18.75" x14ac:dyDescent="0.3">
      <c r="D75" s="57"/>
      <c r="H75" s="183"/>
      <c r="I75" s="183"/>
      <c r="J75" s="83"/>
      <c r="L75" s="184" t="s">
        <v>29</v>
      </c>
      <c r="M75" s="185"/>
      <c r="N75" s="84">
        <f>SUM(K72+M72)</f>
        <v>435000</v>
      </c>
      <c r="O75" s="187"/>
    </row>
    <row r="76" spans="1:15" ht="18.75" x14ac:dyDescent="0.3">
      <c r="D76" s="57"/>
      <c r="H76" s="168"/>
      <c r="I76" s="168"/>
      <c r="J76" s="85"/>
      <c r="K76" s="86"/>
    </row>
    <row r="77" spans="1:15" x14ac:dyDescent="0.25">
      <c r="D77" s="2" t="s">
        <v>30</v>
      </c>
      <c r="E77" s="1"/>
      <c r="F77" s="1"/>
      <c r="G77" s="1"/>
      <c r="H77" s="1"/>
      <c r="I77" s="1"/>
      <c r="J77" s="1"/>
      <c r="K77" s="1"/>
    </row>
    <row r="78" spans="1:15" x14ac:dyDescent="0.25">
      <c r="D78" s="2"/>
      <c r="E78" s="1"/>
      <c r="F78" s="1"/>
      <c r="G78" s="1"/>
      <c r="H78" s="1"/>
      <c r="I78" s="1"/>
      <c r="J78" s="1"/>
      <c r="K78" s="1"/>
    </row>
    <row r="79" spans="1:15" x14ac:dyDescent="0.25">
      <c r="D79" s="3" t="s">
        <v>31</v>
      </c>
      <c r="E79" s="3"/>
      <c r="F79" s="3" t="s">
        <v>32</v>
      </c>
      <c r="G79" s="3"/>
      <c r="H79" s="3" t="s">
        <v>33</v>
      </c>
      <c r="I79" s="3"/>
      <c r="J79" s="3" t="s">
        <v>34</v>
      </c>
      <c r="K79" s="3"/>
    </row>
    <row r="80" spans="1:15" x14ac:dyDescent="0.25">
      <c r="D80" s="3"/>
      <c r="E80" s="3"/>
      <c r="F80" s="3"/>
      <c r="G80" s="3"/>
      <c r="H80" s="3"/>
      <c r="I80" s="3"/>
      <c r="J80" s="3"/>
      <c r="K80" s="3"/>
    </row>
    <row r="81" spans="4:11" x14ac:dyDescent="0.25">
      <c r="D81" s="3"/>
      <c r="E81" s="3"/>
      <c r="F81" s="3"/>
      <c r="G81" s="3"/>
      <c r="H81" s="3"/>
      <c r="I81" s="3"/>
      <c r="J81" s="3"/>
      <c r="K81" s="3"/>
    </row>
    <row r="82" spans="4:11" x14ac:dyDescent="0.25">
      <c r="D82" s="3"/>
      <c r="E82" s="3"/>
      <c r="F82" s="3"/>
      <c r="G82" s="3"/>
      <c r="H82" s="3"/>
      <c r="I82" s="3"/>
      <c r="J82" s="3"/>
      <c r="K82" s="3"/>
    </row>
    <row r="83" spans="4:11" x14ac:dyDescent="0.25">
      <c r="D83" s="3" t="s">
        <v>35</v>
      </c>
      <c r="E83" s="3"/>
      <c r="F83" s="3" t="s">
        <v>36</v>
      </c>
      <c r="G83" s="3"/>
      <c r="H83" s="3" t="s">
        <v>36</v>
      </c>
      <c r="I83" s="3"/>
      <c r="J83" s="3" t="s">
        <v>37</v>
      </c>
      <c r="K83" s="3"/>
    </row>
    <row r="84" spans="4:11" x14ac:dyDescent="0.25">
      <c r="D84" s="57"/>
    </row>
    <row r="85" spans="4:11" x14ac:dyDescent="0.25">
      <c r="D85" s="57"/>
    </row>
    <row r="86" spans="4:11" x14ac:dyDescent="0.25">
      <c r="D86" s="57"/>
    </row>
    <row r="87" spans="4:11" x14ac:dyDescent="0.25">
      <c r="D87" s="57"/>
    </row>
    <row r="88" spans="4:11" x14ac:dyDescent="0.25">
      <c r="D88" s="57"/>
    </row>
  </sheetData>
  <mergeCells count="48">
    <mergeCell ref="B24:I24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2:G53"/>
    <mergeCell ref="B25:O25"/>
    <mergeCell ref="B38:I38"/>
    <mergeCell ref="B39:O39"/>
    <mergeCell ref="B46:I46"/>
    <mergeCell ref="G49:I49"/>
    <mergeCell ref="B51:D51"/>
    <mergeCell ref="B52:B53"/>
    <mergeCell ref="C52:C53"/>
    <mergeCell ref="D52:D53"/>
    <mergeCell ref="E52:E53"/>
    <mergeCell ref="F52:F53"/>
    <mergeCell ref="H52:H53"/>
    <mergeCell ref="I52:I53"/>
    <mergeCell ref="J52:N52"/>
    <mergeCell ref="O52:O53"/>
    <mergeCell ref="G68:I68"/>
    <mergeCell ref="J53:K53"/>
    <mergeCell ref="L53:M53"/>
    <mergeCell ref="H76:I76"/>
    <mergeCell ref="B62:I62"/>
    <mergeCell ref="B63:O63"/>
    <mergeCell ref="B66:I66"/>
    <mergeCell ref="H70:I72"/>
    <mergeCell ref="J70:K70"/>
    <mergeCell ref="L70:M70"/>
    <mergeCell ref="O70:O72"/>
    <mergeCell ref="H74:I74"/>
    <mergeCell ref="L74:M74"/>
    <mergeCell ref="O74:O75"/>
    <mergeCell ref="H75:I75"/>
    <mergeCell ref="L75:M75"/>
  </mergeCells>
  <pageMargins left="0" right="0" top="0" bottom="0" header="0" footer="0"/>
  <pageSetup paperSize="9" scale="60" orientation="landscape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4E4C2-3FF1-4344-9225-C70F125BD4D2}">
  <dimension ref="A2:Q83"/>
  <sheetViews>
    <sheetView topLeftCell="A58" workbookViewId="0">
      <selection activeCell="G63" sqref="G63:I63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796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160</v>
      </c>
      <c r="E9" s="14" t="s">
        <v>40</v>
      </c>
      <c r="F9" s="15" t="s">
        <v>797</v>
      </c>
      <c r="G9" s="16">
        <v>46136</v>
      </c>
      <c r="H9" s="16">
        <v>46149</v>
      </c>
      <c r="I9" s="17">
        <v>500000</v>
      </c>
      <c r="J9" s="18">
        <f>I9</f>
        <v>500000</v>
      </c>
      <c r="K9" s="19"/>
      <c r="L9" s="20"/>
      <c r="M9" s="20"/>
      <c r="N9" s="22" t="s">
        <v>155</v>
      </c>
      <c r="O9" s="22"/>
    </row>
    <row r="10" spans="2:17" x14ac:dyDescent="0.25">
      <c r="B10" s="11">
        <v>2</v>
      </c>
      <c r="C10" s="12"/>
      <c r="D10" s="13" t="s">
        <v>798</v>
      </c>
      <c r="E10" s="14" t="s">
        <v>799</v>
      </c>
      <c r="F10" s="15" t="s">
        <v>800</v>
      </c>
      <c r="G10" s="16">
        <v>46168</v>
      </c>
      <c r="H10" s="16">
        <v>46181</v>
      </c>
      <c r="I10" s="23">
        <v>215100</v>
      </c>
      <c r="J10" s="18">
        <f t="shared" ref="J10:J16" si="0">I10</f>
        <v>215100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801</v>
      </c>
      <c r="E11" s="14" t="s">
        <v>802</v>
      </c>
      <c r="F11" s="15" t="s">
        <v>65</v>
      </c>
      <c r="G11" s="16">
        <v>46168</v>
      </c>
      <c r="H11" s="16">
        <v>46181</v>
      </c>
      <c r="I11" s="23">
        <v>1290600</v>
      </c>
      <c r="J11" s="18">
        <v>800000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803</v>
      </c>
      <c r="E12" s="14" t="s">
        <v>804</v>
      </c>
      <c r="F12" s="15" t="s">
        <v>805</v>
      </c>
      <c r="G12" s="16">
        <v>46168</v>
      </c>
      <c r="H12" s="16">
        <v>46181</v>
      </c>
      <c r="I12" s="23">
        <v>986100</v>
      </c>
      <c r="J12" s="18">
        <f t="shared" si="0"/>
        <v>986100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806</v>
      </c>
      <c r="E13" s="14" t="s">
        <v>807</v>
      </c>
      <c r="F13" s="15" t="s">
        <v>808</v>
      </c>
      <c r="G13" s="16">
        <v>46168</v>
      </c>
      <c r="H13" s="16">
        <v>46181</v>
      </c>
      <c r="I13" s="23">
        <v>1643500</v>
      </c>
      <c r="J13" s="18">
        <f t="shared" si="0"/>
        <v>1643500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809</v>
      </c>
      <c r="E14" s="14" t="s">
        <v>810</v>
      </c>
      <c r="F14" s="15" t="s">
        <v>811</v>
      </c>
      <c r="G14" s="16">
        <v>46168</v>
      </c>
      <c r="H14" s="16">
        <v>46181</v>
      </c>
      <c r="I14" s="23">
        <v>430200</v>
      </c>
      <c r="J14" s="18">
        <f t="shared" si="0"/>
        <v>430200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812</v>
      </c>
      <c r="E15" s="14" t="s">
        <v>813</v>
      </c>
      <c r="F15" s="15" t="s">
        <v>814</v>
      </c>
      <c r="G15" s="16">
        <v>46168</v>
      </c>
      <c r="H15" s="16">
        <v>46181</v>
      </c>
      <c r="I15" s="23">
        <v>645300</v>
      </c>
      <c r="J15" s="18">
        <f t="shared" si="0"/>
        <v>645300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815</v>
      </c>
      <c r="E16" s="14" t="s">
        <v>816</v>
      </c>
      <c r="F16" s="15" t="s">
        <v>817</v>
      </c>
      <c r="G16" s="16">
        <v>46170</v>
      </c>
      <c r="H16" s="16">
        <v>46183</v>
      </c>
      <c r="I16" s="23">
        <v>430200</v>
      </c>
      <c r="J16" s="18">
        <f t="shared" si="0"/>
        <v>430200</v>
      </c>
      <c r="K16" s="19"/>
      <c r="L16" s="24"/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818</v>
      </c>
      <c r="E17" s="14" t="s">
        <v>819</v>
      </c>
      <c r="F17" s="15" t="s">
        <v>820</v>
      </c>
      <c r="G17" s="16">
        <v>46148</v>
      </c>
      <c r="H17" s="16">
        <v>46161</v>
      </c>
      <c r="I17" s="23">
        <v>10372176</v>
      </c>
      <c r="J17" s="18"/>
      <c r="K17" s="19"/>
      <c r="L17" s="24">
        <v>1000000</v>
      </c>
      <c r="M17" s="24"/>
      <c r="N17" s="22" t="s">
        <v>158</v>
      </c>
      <c r="O17" s="22"/>
    </row>
    <row r="18" spans="2:15" x14ac:dyDescent="0.25">
      <c r="B18" s="11">
        <v>10</v>
      </c>
      <c r="C18" s="12"/>
      <c r="D18" s="13" t="s">
        <v>821</v>
      </c>
      <c r="E18" s="14" t="s">
        <v>807</v>
      </c>
      <c r="F18" s="15" t="s">
        <v>808</v>
      </c>
      <c r="G18" s="16">
        <v>46168</v>
      </c>
      <c r="H18" s="16">
        <v>46181</v>
      </c>
      <c r="I18" s="23">
        <v>870000</v>
      </c>
      <c r="J18" s="18"/>
      <c r="K18" s="19"/>
      <c r="L18" s="24">
        <f t="shared" ref="L18:L20" si="1">I18</f>
        <v>870000</v>
      </c>
      <c r="M18" s="24"/>
      <c r="N18" s="22" t="s">
        <v>155</v>
      </c>
      <c r="O18" s="22"/>
    </row>
    <row r="19" spans="2:15" x14ac:dyDescent="0.25">
      <c r="B19" s="11">
        <v>11</v>
      </c>
      <c r="C19" s="12"/>
      <c r="D19" s="13" t="s">
        <v>822</v>
      </c>
      <c r="E19" s="14" t="s">
        <v>823</v>
      </c>
      <c r="F19" s="15" t="s">
        <v>333</v>
      </c>
      <c r="G19" s="16">
        <v>46168</v>
      </c>
      <c r="H19" s="16">
        <v>46181</v>
      </c>
      <c r="I19" s="23">
        <v>789780</v>
      </c>
      <c r="J19" s="18"/>
      <c r="K19" s="19"/>
      <c r="L19" s="24">
        <f t="shared" si="1"/>
        <v>789780</v>
      </c>
      <c r="M19" s="24"/>
      <c r="N19" s="22" t="s">
        <v>155</v>
      </c>
      <c r="O19" s="22"/>
    </row>
    <row r="20" spans="2:15" x14ac:dyDescent="0.25">
      <c r="B20" s="11">
        <v>12</v>
      </c>
      <c r="C20" s="12"/>
      <c r="D20" s="13" t="s">
        <v>824</v>
      </c>
      <c r="E20" s="14" t="s">
        <v>816</v>
      </c>
      <c r="F20" s="15" t="s">
        <v>817</v>
      </c>
      <c r="G20" s="16">
        <v>46170</v>
      </c>
      <c r="H20" s="16">
        <v>46183</v>
      </c>
      <c r="I20" s="23">
        <v>69498</v>
      </c>
      <c r="J20" s="18"/>
      <c r="K20" s="19"/>
      <c r="L20" s="24">
        <f t="shared" si="1"/>
        <v>69498</v>
      </c>
      <c r="M20" s="24"/>
      <c r="N20" s="22" t="s">
        <v>155</v>
      </c>
      <c r="O20" s="22"/>
    </row>
    <row r="21" spans="2:15" ht="15.75" x14ac:dyDescent="0.25">
      <c r="B21" s="169" t="s">
        <v>13</v>
      </c>
      <c r="C21" s="170"/>
      <c r="D21" s="170"/>
      <c r="E21" s="170"/>
      <c r="F21" s="170"/>
      <c r="G21" s="170"/>
      <c r="H21" s="170"/>
      <c r="I21" s="171"/>
      <c r="J21" s="25">
        <f>SUM(J9:J20)</f>
        <v>5650400</v>
      </c>
      <c r="K21" s="26">
        <f>SUM(K9:K20)</f>
        <v>0</v>
      </c>
      <c r="L21" s="27">
        <f>SUM(L9:L20)</f>
        <v>2729278</v>
      </c>
      <c r="M21" s="28">
        <f>SUM(M9:M20)</f>
        <v>0</v>
      </c>
      <c r="N21" s="29"/>
      <c r="O21" s="30">
        <f>SUM(J21+K21+L21+M21)</f>
        <v>8379678</v>
      </c>
    </row>
    <row r="22" spans="2:15" ht="15.75" x14ac:dyDescent="0.25">
      <c r="B22" s="190"/>
      <c r="C22" s="191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</row>
    <row r="23" spans="2:15" x14ac:dyDescent="0.25">
      <c r="B23" s="11">
        <v>1</v>
      </c>
      <c r="C23" s="31" t="s">
        <v>20</v>
      </c>
      <c r="D23" s="13" t="s">
        <v>825</v>
      </c>
      <c r="E23" s="32" t="s">
        <v>826</v>
      </c>
      <c r="F23" s="33" t="s">
        <v>827</v>
      </c>
      <c r="G23" s="34">
        <v>46155</v>
      </c>
      <c r="H23" s="35">
        <v>46168</v>
      </c>
      <c r="I23" s="36">
        <v>328700</v>
      </c>
      <c r="J23" s="37">
        <f>I23</f>
        <v>328700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2</v>
      </c>
      <c r="C24" s="31"/>
      <c r="D24" s="13" t="s">
        <v>828</v>
      </c>
      <c r="E24" s="32" t="s">
        <v>829</v>
      </c>
      <c r="F24" s="33" t="s">
        <v>744</v>
      </c>
      <c r="G24" s="34">
        <v>46155</v>
      </c>
      <c r="H24" s="35">
        <v>46168</v>
      </c>
      <c r="I24" s="36">
        <v>430200</v>
      </c>
      <c r="J24" s="37">
        <f t="shared" ref="J24:J28" si="2">I24</f>
        <v>430200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3</v>
      </c>
      <c r="C25" s="31"/>
      <c r="D25" s="13" t="s">
        <v>830</v>
      </c>
      <c r="E25" s="32" t="s">
        <v>831</v>
      </c>
      <c r="F25" s="33" t="s">
        <v>832</v>
      </c>
      <c r="G25" s="34">
        <v>46156</v>
      </c>
      <c r="H25" s="35">
        <v>46169</v>
      </c>
      <c r="I25" s="36">
        <v>215100</v>
      </c>
      <c r="J25" s="37">
        <f t="shared" si="2"/>
        <v>215100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4</v>
      </c>
      <c r="C26" s="31"/>
      <c r="D26" s="13" t="s">
        <v>833</v>
      </c>
      <c r="E26" s="32" t="s">
        <v>834</v>
      </c>
      <c r="F26" s="33" t="s">
        <v>835</v>
      </c>
      <c r="G26" s="34">
        <v>46156</v>
      </c>
      <c r="H26" s="35">
        <v>46169</v>
      </c>
      <c r="I26" s="36">
        <v>645300</v>
      </c>
      <c r="J26" s="37">
        <f t="shared" si="2"/>
        <v>645300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5</v>
      </c>
      <c r="C27" s="31"/>
      <c r="D27" s="13" t="s">
        <v>836</v>
      </c>
      <c r="E27" s="32" t="s">
        <v>837</v>
      </c>
      <c r="F27" s="33" t="s">
        <v>41</v>
      </c>
      <c r="G27" s="34">
        <v>46170</v>
      </c>
      <c r="H27" s="35">
        <v>46183</v>
      </c>
      <c r="I27" s="36">
        <v>430200</v>
      </c>
      <c r="J27" s="37">
        <f t="shared" si="2"/>
        <v>430200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6</v>
      </c>
      <c r="C28" s="31"/>
      <c r="D28" s="13" t="s">
        <v>838</v>
      </c>
      <c r="E28" s="32" t="s">
        <v>839</v>
      </c>
      <c r="F28" s="33" t="s">
        <v>41</v>
      </c>
      <c r="G28" s="34">
        <v>46170</v>
      </c>
      <c r="H28" s="35">
        <v>46183</v>
      </c>
      <c r="I28" s="36">
        <v>328700</v>
      </c>
      <c r="J28" s="37">
        <f t="shared" si="2"/>
        <v>328700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7</v>
      </c>
      <c r="C29" s="31"/>
      <c r="D29" s="13" t="s">
        <v>874</v>
      </c>
      <c r="E29" s="32" t="s">
        <v>764</v>
      </c>
      <c r="F29" s="33" t="s">
        <v>752</v>
      </c>
      <c r="G29" s="34">
        <v>46183</v>
      </c>
      <c r="H29" s="35">
        <v>46196</v>
      </c>
      <c r="I29" s="36">
        <v>215100</v>
      </c>
      <c r="J29" s="37">
        <v>65100</v>
      </c>
      <c r="K29" s="19"/>
      <c r="L29" s="24"/>
      <c r="M29" s="24"/>
      <c r="N29" s="22" t="s">
        <v>158</v>
      </c>
      <c r="O29" s="22"/>
    </row>
    <row r="30" spans="2:15" x14ac:dyDescent="0.25">
      <c r="B30" s="11">
        <v>8</v>
      </c>
      <c r="C30" s="31"/>
      <c r="D30" s="13" t="s">
        <v>840</v>
      </c>
      <c r="E30" s="32" t="s">
        <v>841</v>
      </c>
      <c r="F30" s="33" t="s">
        <v>842</v>
      </c>
      <c r="G30" s="34">
        <v>46155</v>
      </c>
      <c r="H30" s="35">
        <v>46168</v>
      </c>
      <c r="I30" s="36">
        <v>174000</v>
      </c>
      <c r="J30" s="37"/>
      <c r="K30" s="19"/>
      <c r="L30" s="24">
        <f>I30</f>
        <v>174000</v>
      </c>
      <c r="M30" s="24"/>
      <c r="N30" s="22" t="s">
        <v>155</v>
      </c>
      <c r="O30" s="22"/>
    </row>
    <row r="31" spans="2:15" x14ac:dyDescent="0.25">
      <c r="B31" s="11">
        <v>9</v>
      </c>
      <c r="C31" s="31"/>
      <c r="D31" s="13" t="s">
        <v>495</v>
      </c>
      <c r="E31" s="32" t="s">
        <v>494</v>
      </c>
      <c r="F31" s="33" t="s">
        <v>268</v>
      </c>
      <c r="G31" s="34">
        <v>46163</v>
      </c>
      <c r="H31" s="35">
        <v>46176</v>
      </c>
      <c r="I31" s="36">
        <v>435000</v>
      </c>
      <c r="J31" s="37"/>
      <c r="K31" s="19"/>
      <c r="L31" s="24">
        <f t="shared" ref="L31:L32" si="3">I31</f>
        <v>435000</v>
      </c>
      <c r="M31" s="24"/>
      <c r="N31" s="22" t="s">
        <v>155</v>
      </c>
      <c r="O31" s="22"/>
    </row>
    <row r="32" spans="2:15" x14ac:dyDescent="0.25">
      <c r="B32" s="11">
        <v>10</v>
      </c>
      <c r="C32" s="31"/>
      <c r="D32" s="13" t="s">
        <v>843</v>
      </c>
      <c r="E32" s="32" t="s">
        <v>844</v>
      </c>
      <c r="F32" s="33" t="s">
        <v>752</v>
      </c>
      <c r="G32" s="34">
        <v>46170</v>
      </c>
      <c r="H32" s="35">
        <v>46183</v>
      </c>
      <c r="I32" s="36">
        <v>225280</v>
      </c>
      <c r="J32" s="37"/>
      <c r="K32" s="19"/>
      <c r="L32" s="24">
        <f t="shared" si="3"/>
        <v>225280</v>
      </c>
      <c r="M32" s="24"/>
      <c r="N32" s="22" t="s">
        <v>158</v>
      </c>
      <c r="O32" s="22"/>
    </row>
    <row r="33" spans="2:15" ht="15.75" x14ac:dyDescent="0.25">
      <c r="B33" s="192" t="s">
        <v>13</v>
      </c>
      <c r="C33" s="193"/>
      <c r="D33" s="193"/>
      <c r="E33" s="193"/>
      <c r="F33" s="193"/>
      <c r="G33" s="193"/>
      <c r="H33" s="193"/>
      <c r="I33" s="194"/>
      <c r="J33" s="38">
        <f>SUM(J23:J32)</f>
        <v>2443300</v>
      </c>
      <c r="K33" s="26">
        <f>SUM(K23:K32)</f>
        <v>0</v>
      </c>
      <c r="L33" s="27">
        <f>SUM(L23:L32)</f>
        <v>834280</v>
      </c>
      <c r="M33" s="27">
        <f>SUM(M23:M32)</f>
        <v>0</v>
      </c>
      <c r="N33" s="39"/>
      <c r="O33" s="40">
        <f>SUM(J33+K33+L33+M33)</f>
        <v>3277580</v>
      </c>
    </row>
    <row r="34" spans="2:15" ht="15.75" x14ac:dyDescent="0.25">
      <c r="B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</row>
    <row r="35" spans="2:15" ht="15.75" x14ac:dyDescent="0.25">
      <c r="B35" s="42">
        <v>1</v>
      </c>
      <c r="C35" s="43" t="s">
        <v>21</v>
      </c>
      <c r="D35" s="44" t="s">
        <v>845</v>
      </c>
      <c r="E35" s="45" t="s">
        <v>846</v>
      </c>
      <c r="F35" s="45" t="s">
        <v>423</v>
      </c>
      <c r="G35" s="46">
        <v>46170</v>
      </c>
      <c r="H35" s="46">
        <v>46183</v>
      </c>
      <c r="I35" s="47">
        <v>669500</v>
      </c>
      <c r="J35" s="48">
        <f>I35</f>
        <v>669500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2</v>
      </c>
      <c r="C36" s="43"/>
      <c r="D36" s="44" t="s">
        <v>847</v>
      </c>
      <c r="E36" s="45" t="s">
        <v>848</v>
      </c>
      <c r="F36" s="45" t="s">
        <v>423</v>
      </c>
      <c r="G36" s="46">
        <v>46170</v>
      </c>
      <c r="H36" s="46">
        <v>46183</v>
      </c>
      <c r="I36" s="47">
        <v>113600</v>
      </c>
      <c r="J36" s="48">
        <f t="shared" ref="J36:J38" si="4">I36</f>
        <v>113600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3</v>
      </c>
      <c r="C37" s="43"/>
      <c r="D37" s="44" t="s">
        <v>849</v>
      </c>
      <c r="E37" s="45" t="s">
        <v>850</v>
      </c>
      <c r="F37" s="45" t="s">
        <v>851</v>
      </c>
      <c r="G37" s="46">
        <v>46170</v>
      </c>
      <c r="H37" s="46">
        <v>46183</v>
      </c>
      <c r="I37" s="47">
        <v>442300</v>
      </c>
      <c r="J37" s="48">
        <f t="shared" si="4"/>
        <v>442300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4</v>
      </c>
      <c r="C38" s="43"/>
      <c r="D38" s="44" t="s">
        <v>852</v>
      </c>
      <c r="E38" s="45" t="s">
        <v>853</v>
      </c>
      <c r="F38" s="45" t="s">
        <v>854</v>
      </c>
      <c r="G38" s="46">
        <v>46170</v>
      </c>
      <c r="H38" s="46">
        <v>46183</v>
      </c>
      <c r="I38" s="47">
        <v>215100</v>
      </c>
      <c r="J38" s="48">
        <f t="shared" si="4"/>
        <v>215100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5</v>
      </c>
      <c r="C39" s="43"/>
      <c r="D39" s="44" t="s">
        <v>855</v>
      </c>
      <c r="E39" s="45" t="s">
        <v>856</v>
      </c>
      <c r="F39" s="45" t="s">
        <v>627</v>
      </c>
      <c r="G39" s="46">
        <v>46170</v>
      </c>
      <c r="H39" s="46">
        <v>46183</v>
      </c>
      <c r="I39" s="47">
        <v>652500</v>
      </c>
      <c r="J39" s="48"/>
      <c r="K39" s="49"/>
      <c r="L39" s="51">
        <f t="shared" ref="L39:L41" si="5">I39</f>
        <v>652500</v>
      </c>
      <c r="M39" s="50"/>
      <c r="N39" s="22" t="s">
        <v>155</v>
      </c>
      <c r="O39" s="42"/>
    </row>
    <row r="40" spans="2:15" ht="15.75" x14ac:dyDescent="0.25">
      <c r="B40" s="42">
        <v>6</v>
      </c>
      <c r="C40" s="43"/>
      <c r="D40" s="44" t="s">
        <v>857</v>
      </c>
      <c r="E40" s="45" t="s">
        <v>858</v>
      </c>
      <c r="F40" s="45" t="s">
        <v>859</v>
      </c>
      <c r="G40" s="46">
        <v>46170</v>
      </c>
      <c r="H40" s="46">
        <v>46183</v>
      </c>
      <c r="I40" s="47">
        <v>2106780</v>
      </c>
      <c r="J40" s="48"/>
      <c r="K40" s="49"/>
      <c r="L40" s="51">
        <f t="shared" si="5"/>
        <v>2106780</v>
      </c>
      <c r="M40" s="51"/>
      <c r="N40" s="22" t="s">
        <v>155</v>
      </c>
      <c r="O40" s="42"/>
    </row>
    <row r="41" spans="2:15" ht="15.75" x14ac:dyDescent="0.25">
      <c r="B41" s="42">
        <v>7</v>
      </c>
      <c r="C41" s="43"/>
      <c r="D41" s="44" t="s">
        <v>860</v>
      </c>
      <c r="E41" s="45" t="s">
        <v>853</v>
      </c>
      <c r="F41" s="45" t="s">
        <v>854</v>
      </c>
      <c r="G41" s="46">
        <v>46170</v>
      </c>
      <c r="H41" s="46">
        <v>46183</v>
      </c>
      <c r="I41" s="47">
        <v>68556</v>
      </c>
      <c r="J41" s="48"/>
      <c r="K41" s="49"/>
      <c r="L41" s="51">
        <f t="shared" si="5"/>
        <v>68556</v>
      </c>
      <c r="M41" s="51"/>
      <c r="N41" s="22" t="s">
        <v>155</v>
      </c>
      <c r="O41" s="42"/>
    </row>
    <row r="42" spans="2:15" ht="15.75" x14ac:dyDescent="0.25">
      <c r="B42" s="197" t="s">
        <v>13</v>
      </c>
      <c r="C42" s="198"/>
      <c r="D42" s="198"/>
      <c r="E42" s="198"/>
      <c r="F42" s="198"/>
      <c r="G42" s="198"/>
      <c r="H42" s="198"/>
      <c r="I42" s="199"/>
      <c r="J42" s="52">
        <f>SUM(J35:J41)</f>
        <v>1440500</v>
      </c>
      <c r="K42" s="53">
        <f>SUM(K35:K41)</f>
        <v>0</v>
      </c>
      <c r="L42" s="54">
        <f>SUM(L35:L41)</f>
        <v>2827836</v>
      </c>
      <c r="M42" s="54">
        <f>SUM(M35:M41)</f>
        <v>0</v>
      </c>
      <c r="N42" s="55"/>
      <c r="O42" s="56">
        <f>SUM(J42+K42+L42+M42)</f>
        <v>4268336</v>
      </c>
    </row>
    <row r="43" spans="2:15" x14ac:dyDescent="0.25">
      <c r="D43" s="57"/>
      <c r="I43" s="58"/>
      <c r="J43" s="58"/>
    </row>
    <row r="44" spans="2:15" x14ac:dyDescent="0.25">
      <c r="D44" s="57"/>
      <c r="I44" s="58"/>
      <c r="J44" s="58"/>
    </row>
    <row r="45" spans="2:15" ht="15.75" x14ac:dyDescent="0.25">
      <c r="D45" s="57"/>
      <c r="G45" s="200" t="s">
        <v>22</v>
      </c>
      <c r="H45" s="200"/>
      <c r="I45" s="200"/>
      <c r="J45" s="59">
        <f>SUM(J42+J33+J21)</f>
        <v>9534200</v>
      </c>
      <c r="K45" s="26">
        <f>SUM(K42+K33+K21)</f>
        <v>0</v>
      </c>
      <c r="L45" s="60">
        <f>SUM(L42+L33+L21)</f>
        <v>6391394</v>
      </c>
      <c r="M45" s="60">
        <f>SUM(M42+M33+M21)</f>
        <v>0</v>
      </c>
      <c r="N45" s="39"/>
      <c r="O45" s="30">
        <f>SUM(J45+K45+L45+M45)</f>
        <v>15925594</v>
      </c>
    </row>
    <row r="46" spans="2:15" x14ac:dyDescent="0.25">
      <c r="D46" s="57"/>
      <c r="I46" s="58"/>
      <c r="J46" s="58"/>
    </row>
    <row r="47" spans="2:15" x14ac:dyDescent="0.25">
      <c r="B47" s="201" t="s">
        <v>17</v>
      </c>
      <c r="C47" s="201"/>
      <c r="D47" s="201"/>
      <c r="I47" s="58"/>
      <c r="J47" s="58"/>
    </row>
    <row r="48" spans="2:15" ht="15.75" x14ac:dyDescent="0.25">
      <c r="B48" s="188" t="s">
        <v>4</v>
      </c>
      <c r="C48" s="202" t="s">
        <v>23</v>
      </c>
      <c r="D48" s="188" t="s">
        <v>6</v>
      </c>
      <c r="E48" s="188" t="s">
        <v>7</v>
      </c>
      <c r="F48" s="188" t="s">
        <v>8</v>
      </c>
      <c r="G48" s="188" t="s">
        <v>9</v>
      </c>
      <c r="H48" s="188" t="s">
        <v>10</v>
      </c>
      <c r="I48" s="202" t="s">
        <v>24</v>
      </c>
      <c r="J48" s="169" t="s">
        <v>12</v>
      </c>
      <c r="K48" s="170"/>
      <c r="L48" s="170"/>
      <c r="M48" s="170"/>
      <c r="N48" s="171"/>
      <c r="O48" s="204" t="s">
        <v>13</v>
      </c>
    </row>
    <row r="49" spans="1:15" ht="15.75" x14ac:dyDescent="0.25">
      <c r="B49" s="189"/>
      <c r="C49" s="203"/>
      <c r="D49" s="189"/>
      <c r="E49" s="189"/>
      <c r="F49" s="189"/>
      <c r="G49" s="189"/>
      <c r="H49" s="189"/>
      <c r="I49" s="203"/>
      <c r="J49" s="164" t="s">
        <v>14</v>
      </c>
      <c r="K49" s="165"/>
      <c r="L49" s="166" t="s">
        <v>15</v>
      </c>
      <c r="M49" s="167"/>
      <c r="N49" s="4" t="s">
        <v>16</v>
      </c>
      <c r="O49" s="205"/>
    </row>
    <row r="50" spans="1:15" ht="15.75" x14ac:dyDescent="0.25">
      <c r="B50" s="5"/>
      <c r="C50" s="61"/>
      <c r="D50" s="5"/>
      <c r="E50" s="5"/>
      <c r="F50" s="5"/>
      <c r="G50" s="5"/>
      <c r="H50" s="5"/>
      <c r="I50" s="61"/>
      <c r="J50" s="62" t="s">
        <v>17</v>
      </c>
      <c r="K50" s="6" t="s">
        <v>18</v>
      </c>
      <c r="L50" s="10" t="s">
        <v>17</v>
      </c>
      <c r="M50" s="10" t="s">
        <v>18</v>
      </c>
      <c r="N50" s="4"/>
      <c r="O50" s="7"/>
    </row>
    <row r="51" spans="1:15" ht="15" customHeight="1" x14ac:dyDescent="0.25">
      <c r="B51" s="63">
        <v>1</v>
      </c>
      <c r="C51" s="43" t="s">
        <v>154</v>
      </c>
      <c r="D51" s="64" t="s">
        <v>861</v>
      </c>
      <c r="E51" s="65" t="s">
        <v>862</v>
      </c>
      <c r="F51" s="65" t="s">
        <v>863</v>
      </c>
      <c r="G51" s="66">
        <v>46182</v>
      </c>
      <c r="H51" s="66"/>
      <c r="I51" s="67">
        <v>328700</v>
      </c>
      <c r="J51" s="37">
        <f>I51</f>
        <v>328700</v>
      </c>
      <c r="K51" s="68"/>
      <c r="L51" s="69"/>
      <c r="M51" s="69"/>
      <c r="N51" s="22" t="s">
        <v>155</v>
      </c>
      <c r="O51" s="70"/>
    </row>
    <row r="52" spans="1:15" ht="15" customHeight="1" x14ac:dyDescent="0.25">
      <c r="B52" s="63">
        <v>2</v>
      </c>
      <c r="C52" s="43" t="s">
        <v>154</v>
      </c>
      <c r="D52" s="71" t="s">
        <v>864</v>
      </c>
      <c r="E52" s="71" t="s">
        <v>508</v>
      </c>
      <c r="F52" s="70" t="s">
        <v>773</v>
      </c>
      <c r="G52" s="66">
        <v>46182</v>
      </c>
      <c r="H52" s="72"/>
      <c r="I52" s="22">
        <v>215100</v>
      </c>
      <c r="J52" s="37">
        <f t="shared" ref="J52:J56" si="6">I52</f>
        <v>215100</v>
      </c>
      <c r="K52" s="68"/>
      <c r="L52" s="24"/>
      <c r="M52" s="69"/>
      <c r="N52" s="22" t="s">
        <v>155</v>
      </c>
      <c r="O52" s="70"/>
    </row>
    <row r="53" spans="1:15" ht="15" customHeight="1" x14ac:dyDescent="0.25">
      <c r="B53" s="63">
        <v>3</v>
      </c>
      <c r="C53" s="43" t="s">
        <v>154</v>
      </c>
      <c r="D53" s="71" t="s">
        <v>865</v>
      </c>
      <c r="E53" s="71" t="s">
        <v>508</v>
      </c>
      <c r="F53" s="70" t="s">
        <v>773</v>
      </c>
      <c r="G53" s="66">
        <v>46182</v>
      </c>
      <c r="H53" s="72"/>
      <c r="I53" s="22">
        <v>116554</v>
      </c>
      <c r="J53" s="37"/>
      <c r="K53" s="68"/>
      <c r="L53" s="24">
        <f>I53</f>
        <v>116554</v>
      </c>
      <c r="M53" s="69"/>
      <c r="N53" s="22" t="s">
        <v>155</v>
      </c>
      <c r="O53" s="70"/>
    </row>
    <row r="54" spans="1:15" ht="15" customHeight="1" x14ac:dyDescent="0.25">
      <c r="B54" s="63">
        <v>4</v>
      </c>
      <c r="C54" s="43" t="s">
        <v>154</v>
      </c>
      <c r="D54" s="71" t="s">
        <v>866</v>
      </c>
      <c r="E54" s="71" t="s">
        <v>867</v>
      </c>
      <c r="F54" s="70" t="s">
        <v>776</v>
      </c>
      <c r="G54" s="66">
        <v>46182</v>
      </c>
      <c r="H54" s="72"/>
      <c r="I54" s="22">
        <v>215100</v>
      </c>
      <c r="J54" s="37">
        <f t="shared" si="6"/>
        <v>215100</v>
      </c>
      <c r="K54" s="68"/>
      <c r="L54" s="24"/>
      <c r="M54" s="69"/>
      <c r="N54" s="22" t="s">
        <v>155</v>
      </c>
      <c r="O54" s="70"/>
    </row>
    <row r="55" spans="1:15" ht="15" customHeight="1" x14ac:dyDescent="0.25">
      <c r="B55" s="63">
        <v>5</v>
      </c>
      <c r="C55" s="43" t="s">
        <v>154</v>
      </c>
      <c r="D55" s="71" t="s">
        <v>868</v>
      </c>
      <c r="E55" s="71" t="s">
        <v>867</v>
      </c>
      <c r="F55" s="70" t="s">
        <v>776</v>
      </c>
      <c r="G55" s="66">
        <v>46182</v>
      </c>
      <c r="H55" s="72"/>
      <c r="I55" s="22">
        <v>94112</v>
      </c>
      <c r="J55" s="37"/>
      <c r="K55" s="68"/>
      <c r="L55" s="24">
        <f>I55</f>
        <v>94112</v>
      </c>
      <c r="M55" s="69"/>
      <c r="N55" s="22" t="s">
        <v>155</v>
      </c>
      <c r="O55" s="70"/>
    </row>
    <row r="56" spans="1:15" ht="15" customHeight="1" x14ac:dyDescent="0.25">
      <c r="B56" s="63">
        <v>6</v>
      </c>
      <c r="C56" s="43" t="s">
        <v>154</v>
      </c>
      <c r="D56" s="71" t="s">
        <v>869</v>
      </c>
      <c r="E56" s="71" t="s">
        <v>387</v>
      </c>
      <c r="F56" s="70" t="s">
        <v>870</v>
      </c>
      <c r="G56" s="66">
        <v>46182</v>
      </c>
      <c r="H56" s="72"/>
      <c r="I56" s="22">
        <v>328700</v>
      </c>
      <c r="J56" s="37">
        <f t="shared" si="6"/>
        <v>328700</v>
      </c>
      <c r="K56" s="68"/>
      <c r="L56" s="24"/>
      <c r="M56" s="69"/>
      <c r="N56" s="22" t="s">
        <v>155</v>
      </c>
      <c r="O56" s="70"/>
    </row>
    <row r="57" spans="1:15" ht="15.75" x14ac:dyDescent="0.25">
      <c r="B57" s="169" t="s">
        <v>25</v>
      </c>
      <c r="C57" s="170"/>
      <c r="D57" s="170"/>
      <c r="E57" s="170"/>
      <c r="F57" s="170"/>
      <c r="G57" s="170"/>
      <c r="H57" s="170"/>
      <c r="I57" s="171"/>
      <c r="J57" s="25">
        <f>SUM(J51:J56)</f>
        <v>1087600</v>
      </c>
      <c r="K57" s="74">
        <f>SUM(K51:K56)</f>
        <v>0</v>
      </c>
      <c r="L57" s="60">
        <f>SUM(L51:L56)</f>
        <v>210666</v>
      </c>
      <c r="M57" s="60">
        <f>SUM(M51:M56)</f>
        <v>0</v>
      </c>
      <c r="N57" s="39"/>
      <c r="O57" s="75">
        <f>SUM(J57+K57+L57+M57)</f>
        <v>1298266</v>
      </c>
    </row>
    <row r="58" spans="1:15" ht="15.75" x14ac:dyDescent="0.25">
      <c r="B58" s="172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</row>
    <row r="59" spans="1:15" x14ac:dyDescent="0.25">
      <c r="B59" s="44">
        <v>1</v>
      </c>
      <c r="C59" s="12" t="s">
        <v>330</v>
      </c>
      <c r="D59" s="71" t="s">
        <v>871</v>
      </c>
      <c r="E59" s="71" t="s">
        <v>872</v>
      </c>
      <c r="F59" s="70" t="s">
        <v>873</v>
      </c>
      <c r="G59" s="66">
        <v>46182</v>
      </c>
      <c r="H59" s="72"/>
      <c r="I59" s="22">
        <v>1045500</v>
      </c>
      <c r="J59" s="73">
        <f>I59</f>
        <v>1045500</v>
      </c>
      <c r="K59" s="68"/>
      <c r="L59" s="69"/>
      <c r="M59" s="69"/>
      <c r="N59" s="22" t="s">
        <v>155</v>
      </c>
      <c r="O59" s="70"/>
    </row>
    <row r="60" spans="1:15" x14ac:dyDescent="0.25">
      <c r="B60" s="44">
        <v>2</v>
      </c>
      <c r="C60" s="12"/>
      <c r="D60" s="71"/>
      <c r="E60" s="71"/>
      <c r="F60" s="70"/>
      <c r="G60" s="66"/>
      <c r="H60" s="72"/>
      <c r="I60" s="22"/>
      <c r="J60" s="73"/>
      <c r="K60" s="68"/>
      <c r="L60" s="24"/>
      <c r="M60" s="24"/>
      <c r="N60" s="22"/>
      <c r="O60" s="70"/>
    </row>
    <row r="61" spans="1:15" ht="15.75" x14ac:dyDescent="0.25">
      <c r="A61" t="s">
        <v>3</v>
      </c>
      <c r="B61" s="169" t="s">
        <v>25</v>
      </c>
      <c r="C61" s="170"/>
      <c r="D61" s="170"/>
      <c r="E61" s="170"/>
      <c r="F61" s="170"/>
      <c r="G61" s="170"/>
      <c r="H61" s="170"/>
      <c r="I61" s="171"/>
      <c r="J61" s="76">
        <f>SUM(J59:J60)</f>
        <v>1045500</v>
      </c>
      <c r="K61" s="74">
        <f>SUM(K59:K60)</f>
        <v>0</v>
      </c>
      <c r="L61" s="60">
        <f>SUM(L59:L60)</f>
        <v>0</v>
      </c>
      <c r="M61" s="60">
        <f>SUM(M59:M60)</f>
        <v>0</v>
      </c>
      <c r="N61" s="39"/>
      <c r="O61" s="75">
        <f>SUM(J61+K61+L61+M61)</f>
        <v>1045500</v>
      </c>
    </row>
    <row r="62" spans="1:15" x14ac:dyDescent="0.25">
      <c r="D62" s="57"/>
      <c r="I62" s="58"/>
      <c r="J62" s="58"/>
    </row>
    <row r="63" spans="1:15" ht="15.75" x14ac:dyDescent="0.25">
      <c r="D63" s="57"/>
      <c r="G63" s="162" t="s">
        <v>1646</v>
      </c>
      <c r="H63" s="162"/>
      <c r="I63" s="163"/>
      <c r="J63" s="25">
        <f>SUM(J61+J57)</f>
        <v>2133100</v>
      </c>
      <c r="K63" s="74">
        <f>SUM(K61+K57)</f>
        <v>0</v>
      </c>
      <c r="L63" s="60">
        <f>SUM(L61+L57)</f>
        <v>210666</v>
      </c>
      <c r="M63" s="60">
        <f>SUM(M61+M57)</f>
        <v>0</v>
      </c>
      <c r="N63" s="39"/>
      <c r="O63" s="77">
        <f>SUM(J63+K63+L63+M63)</f>
        <v>2343766</v>
      </c>
    </row>
    <row r="64" spans="1:15" ht="15.75" x14ac:dyDescent="0.25">
      <c r="D64" s="57"/>
      <c r="H64" s="41"/>
      <c r="I64" s="41"/>
      <c r="J64" s="41"/>
      <c r="K64" s="78"/>
      <c r="L64" s="78"/>
      <c r="M64" s="78"/>
      <c r="N64" s="79"/>
      <c r="O64" s="80"/>
    </row>
    <row r="65" spans="4:15" ht="15.75" x14ac:dyDescent="0.25">
      <c r="D65" s="57"/>
      <c r="H65" s="174" t="s">
        <v>27</v>
      </c>
      <c r="I65" s="175"/>
      <c r="J65" s="180" t="s">
        <v>14</v>
      </c>
      <c r="K65" s="180"/>
      <c r="L65" s="181" t="s">
        <v>15</v>
      </c>
      <c r="M65" s="181"/>
      <c r="N65" s="70"/>
      <c r="O65" s="182"/>
    </row>
    <row r="66" spans="4:15" ht="15.75" x14ac:dyDescent="0.25">
      <c r="D66" s="57"/>
      <c r="H66" s="176"/>
      <c r="I66" s="177"/>
      <c r="J66" s="6" t="s">
        <v>17</v>
      </c>
      <c r="K66" s="81" t="s">
        <v>18</v>
      </c>
      <c r="L66" s="82" t="s">
        <v>17</v>
      </c>
      <c r="M66" s="82" t="s">
        <v>18</v>
      </c>
      <c r="N66" s="70"/>
      <c r="O66" s="182"/>
    </row>
    <row r="67" spans="4:15" ht="15.75" x14ac:dyDescent="0.25">
      <c r="D67" s="57"/>
      <c r="H67" s="178"/>
      <c r="I67" s="179"/>
      <c r="J67" s="74">
        <f>SUM(J45,J63)</f>
        <v>11667300</v>
      </c>
      <c r="K67" s="74">
        <f>SUM(K63+K45)</f>
        <v>0</v>
      </c>
      <c r="L67" s="60">
        <f>SUM(L63+L45)</f>
        <v>6602060</v>
      </c>
      <c r="M67" s="60">
        <f>SUM(M63+M45)</f>
        <v>0</v>
      </c>
      <c r="N67" s="39"/>
      <c r="O67" s="182"/>
    </row>
    <row r="68" spans="4:15" x14ac:dyDescent="0.25">
      <c r="D68" s="57"/>
      <c r="I68" s="58"/>
      <c r="J68" s="58"/>
    </row>
    <row r="69" spans="4:15" ht="18.75" x14ac:dyDescent="0.3">
      <c r="D69" s="57"/>
      <c r="H69" s="183"/>
      <c r="I69" s="183"/>
      <c r="J69" s="83"/>
      <c r="L69" s="184" t="s">
        <v>28</v>
      </c>
      <c r="M69" s="185"/>
      <c r="N69" s="84">
        <f>SUM(J67+L67)</f>
        <v>18269360</v>
      </c>
      <c r="O69" s="186">
        <f>SUM(N69+N70)</f>
        <v>18269360</v>
      </c>
    </row>
    <row r="70" spans="4:15" ht="18.75" x14ac:dyDescent="0.3">
      <c r="D70" s="57"/>
      <c r="H70" s="183"/>
      <c r="I70" s="183"/>
      <c r="J70" s="83"/>
      <c r="L70" s="184" t="s">
        <v>29</v>
      </c>
      <c r="M70" s="185"/>
      <c r="N70" s="84">
        <f>SUM(K67+M67)</f>
        <v>0</v>
      </c>
      <c r="O70" s="187"/>
    </row>
    <row r="71" spans="4:15" ht="18.75" x14ac:dyDescent="0.3">
      <c r="D71" s="57"/>
      <c r="H71" s="168"/>
      <c r="I71" s="168"/>
      <c r="J71" s="85"/>
      <c r="K71" s="86"/>
    </row>
    <row r="72" spans="4:15" x14ac:dyDescent="0.25">
      <c r="D72" s="2" t="s">
        <v>30</v>
      </c>
      <c r="E72" s="1"/>
      <c r="F72" s="1"/>
      <c r="G72" s="1"/>
      <c r="H72" s="1"/>
      <c r="I72" s="1"/>
      <c r="J72" s="1"/>
      <c r="K72" s="1"/>
    </row>
    <row r="73" spans="4:15" x14ac:dyDescent="0.25">
      <c r="D73" s="2"/>
      <c r="E73" s="1"/>
      <c r="F73" s="1"/>
      <c r="G73" s="1"/>
      <c r="H73" s="1"/>
      <c r="I73" s="1"/>
      <c r="J73" s="1"/>
      <c r="K73" s="1"/>
    </row>
    <row r="74" spans="4:15" x14ac:dyDescent="0.25">
      <c r="D74" s="3" t="s">
        <v>31</v>
      </c>
      <c r="E74" s="3"/>
      <c r="F74" s="3" t="s">
        <v>32</v>
      </c>
      <c r="G74" s="3"/>
      <c r="H74" s="3" t="s">
        <v>33</v>
      </c>
      <c r="I74" s="3"/>
      <c r="J74" s="3" t="s">
        <v>34</v>
      </c>
      <c r="K74" s="3"/>
    </row>
    <row r="75" spans="4:15" x14ac:dyDescent="0.25">
      <c r="D75" s="3"/>
      <c r="E75" s="3"/>
      <c r="F75" s="3"/>
      <c r="G75" s="3"/>
      <c r="H75" s="3"/>
      <c r="I75" s="3"/>
      <c r="J75" s="3"/>
      <c r="K75" s="3"/>
    </row>
    <row r="76" spans="4:15" x14ac:dyDescent="0.25">
      <c r="D76" s="3"/>
      <c r="E76" s="3"/>
      <c r="F76" s="3"/>
      <c r="G76" s="3"/>
      <c r="H76" s="3"/>
      <c r="I76" s="3"/>
      <c r="J76" s="3"/>
      <c r="K76" s="3"/>
    </row>
    <row r="77" spans="4:15" x14ac:dyDescent="0.25">
      <c r="D77" s="3"/>
      <c r="E77" s="3"/>
      <c r="F77" s="3"/>
      <c r="G77" s="3"/>
      <c r="H77" s="3"/>
      <c r="I77" s="3"/>
      <c r="J77" s="3"/>
      <c r="K77" s="3"/>
    </row>
    <row r="78" spans="4:15" x14ac:dyDescent="0.25">
      <c r="D78" s="3" t="s">
        <v>35</v>
      </c>
      <c r="E78" s="3"/>
      <c r="F78" s="3" t="s">
        <v>36</v>
      </c>
      <c r="G78" s="3"/>
      <c r="H78" s="3" t="s">
        <v>36</v>
      </c>
      <c r="I78" s="3"/>
      <c r="J78" s="3" t="s">
        <v>37</v>
      </c>
      <c r="K78" s="3"/>
    </row>
    <row r="79" spans="4:15" x14ac:dyDescent="0.25">
      <c r="D79" s="57"/>
    </row>
    <row r="80" spans="4:15" x14ac:dyDescent="0.25">
      <c r="D80" s="57"/>
    </row>
    <row r="81" spans="4:4" x14ac:dyDescent="0.25">
      <c r="D81" s="57"/>
    </row>
    <row r="82" spans="4:4" x14ac:dyDescent="0.25">
      <c r="D82" s="57"/>
    </row>
    <row r="83" spans="4:4" x14ac:dyDescent="0.25">
      <c r="D83" s="57"/>
    </row>
  </sheetData>
  <mergeCells count="48">
    <mergeCell ref="O48:O49"/>
    <mergeCell ref="J49:K49"/>
    <mergeCell ref="L49:M49"/>
    <mergeCell ref="H71:I71"/>
    <mergeCell ref="B57:I57"/>
    <mergeCell ref="B58:O58"/>
    <mergeCell ref="B61:I61"/>
    <mergeCell ref="H65:I67"/>
    <mergeCell ref="J65:K65"/>
    <mergeCell ref="L65:M65"/>
    <mergeCell ref="O65:O67"/>
    <mergeCell ref="H69:I69"/>
    <mergeCell ref="L69:M69"/>
    <mergeCell ref="O69:O70"/>
    <mergeCell ref="H70:I70"/>
    <mergeCell ref="L70:M70"/>
    <mergeCell ref="L7:M7"/>
    <mergeCell ref="G48:G49"/>
    <mergeCell ref="B22:O22"/>
    <mergeCell ref="B33:I33"/>
    <mergeCell ref="B34:O34"/>
    <mergeCell ref="B42:I42"/>
    <mergeCell ref="G45:I45"/>
    <mergeCell ref="B47:D47"/>
    <mergeCell ref="B48:B49"/>
    <mergeCell ref="C48:C49"/>
    <mergeCell ref="D48:D49"/>
    <mergeCell ref="E48:E49"/>
    <mergeCell ref="F48:F49"/>
    <mergeCell ref="H48:H49"/>
    <mergeCell ref="I48:I49"/>
    <mergeCell ref="J48:N48"/>
    <mergeCell ref="G63:I63"/>
    <mergeCell ref="B21:I21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" right="0" top="0" bottom="0" header="0" footer="0"/>
  <pageSetup paperSize="9" scale="6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60F2-4CE3-43F1-8494-5E702B4CF241}">
  <dimension ref="A2:Q84"/>
  <sheetViews>
    <sheetView topLeftCell="A58" workbookViewId="0">
      <selection activeCell="G64" sqref="G64:I64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17.285156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951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801</v>
      </c>
      <c r="E9" s="14" t="s">
        <v>802</v>
      </c>
      <c r="F9" s="15" t="s">
        <v>65</v>
      </c>
      <c r="G9" s="16">
        <v>37402</v>
      </c>
      <c r="H9" s="16">
        <v>37415</v>
      </c>
      <c r="I9" s="23">
        <v>490600</v>
      </c>
      <c r="J9" s="18">
        <f t="shared" ref="J9" si="0">I9</f>
        <v>490600</v>
      </c>
      <c r="K9" s="19"/>
      <c r="L9" s="24"/>
      <c r="M9" s="24"/>
      <c r="N9" s="22" t="s">
        <v>155</v>
      </c>
      <c r="O9" s="22"/>
    </row>
    <row r="10" spans="2:17" x14ac:dyDescent="0.25">
      <c r="B10" s="11">
        <v>2</v>
      </c>
      <c r="C10" s="12"/>
      <c r="D10" s="13" t="s">
        <v>949</v>
      </c>
      <c r="E10" s="14" t="s">
        <v>875</v>
      </c>
      <c r="F10" s="15" t="s">
        <v>876</v>
      </c>
      <c r="G10" s="16">
        <v>46142</v>
      </c>
      <c r="H10" s="16">
        <v>37416</v>
      </c>
      <c r="I10" s="23">
        <v>655800</v>
      </c>
      <c r="J10" s="18">
        <v>655800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818</v>
      </c>
      <c r="E11" s="14" t="s">
        <v>819</v>
      </c>
      <c r="F11" s="15" t="s">
        <v>820</v>
      </c>
      <c r="G11" s="16">
        <v>46148</v>
      </c>
      <c r="H11" s="16">
        <v>46161</v>
      </c>
      <c r="I11" s="23">
        <v>9372176</v>
      </c>
      <c r="J11" s="18"/>
      <c r="K11" s="19"/>
      <c r="L11" s="24">
        <f>I11</f>
        <v>9372176</v>
      </c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942</v>
      </c>
      <c r="E12" s="14" t="s">
        <v>943</v>
      </c>
      <c r="F12" s="15" t="s">
        <v>944</v>
      </c>
      <c r="G12" s="16">
        <v>46129</v>
      </c>
      <c r="H12" s="16">
        <v>46142</v>
      </c>
      <c r="I12" s="23">
        <v>1411200</v>
      </c>
      <c r="J12" s="18"/>
      <c r="K12" s="19"/>
      <c r="L12" s="24">
        <v>600000</v>
      </c>
      <c r="M12" s="24"/>
      <c r="N12" s="22" t="s">
        <v>158</v>
      </c>
      <c r="O12" s="22"/>
    </row>
    <row r="13" spans="2:17" x14ac:dyDescent="0.25">
      <c r="B13" s="11">
        <v>5</v>
      </c>
      <c r="C13" s="12"/>
      <c r="D13" s="13" t="s">
        <v>945</v>
      </c>
      <c r="E13" s="14" t="s">
        <v>799</v>
      </c>
      <c r="F13" s="15" t="s">
        <v>800</v>
      </c>
      <c r="G13" s="16">
        <v>46163</v>
      </c>
      <c r="H13" s="16">
        <v>46176</v>
      </c>
      <c r="I13" s="23">
        <v>522000</v>
      </c>
      <c r="J13" s="18"/>
      <c r="K13" s="19"/>
      <c r="L13" s="24">
        <f t="shared" ref="L13:L14" si="1">I13</f>
        <v>522000</v>
      </c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950</v>
      </c>
      <c r="E14" s="14" t="s">
        <v>875</v>
      </c>
      <c r="F14" s="15" t="s">
        <v>876</v>
      </c>
      <c r="G14" s="16">
        <v>46142</v>
      </c>
      <c r="H14" s="16">
        <v>46177</v>
      </c>
      <c r="I14" s="23">
        <v>528956</v>
      </c>
      <c r="J14" s="18"/>
      <c r="K14" s="19"/>
      <c r="L14" s="24">
        <f t="shared" si="1"/>
        <v>528956</v>
      </c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946</v>
      </c>
      <c r="E15" s="14" t="s">
        <v>947</v>
      </c>
      <c r="F15" s="15" t="s">
        <v>948</v>
      </c>
      <c r="G15" s="16">
        <v>46171</v>
      </c>
      <c r="H15" s="16">
        <v>46178</v>
      </c>
      <c r="I15" s="23">
        <v>533500</v>
      </c>
      <c r="J15" s="18"/>
      <c r="K15" s="19"/>
      <c r="L15" s="24">
        <v>200000</v>
      </c>
      <c r="M15" s="24"/>
      <c r="N15" s="22" t="s">
        <v>158</v>
      </c>
      <c r="O15" s="22"/>
    </row>
    <row r="16" spans="2:17" ht="15.75" x14ac:dyDescent="0.25">
      <c r="B16" s="169" t="s">
        <v>13</v>
      </c>
      <c r="C16" s="170"/>
      <c r="D16" s="170"/>
      <c r="E16" s="170"/>
      <c r="F16" s="170"/>
      <c r="G16" s="170"/>
      <c r="H16" s="170"/>
      <c r="I16" s="171"/>
      <c r="J16" s="25">
        <f>SUM(J9:J15)</f>
        <v>1146400</v>
      </c>
      <c r="K16" s="26">
        <f>SUM(K9:K15)</f>
        <v>0</v>
      </c>
      <c r="L16" s="27">
        <f>SUM(L9:L15)</f>
        <v>11223132</v>
      </c>
      <c r="M16" s="28">
        <f>SUM(M9:M15)</f>
        <v>0</v>
      </c>
      <c r="N16" s="29"/>
      <c r="O16" s="30">
        <f>SUM(J16+K16+L16+M16)</f>
        <v>12369532</v>
      </c>
    </row>
    <row r="17" spans="2:15" ht="15.75" x14ac:dyDescent="0.25"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</row>
    <row r="18" spans="2:15" x14ac:dyDescent="0.25">
      <c r="B18" s="11">
        <v>1</v>
      </c>
      <c r="C18" s="31" t="s">
        <v>20</v>
      </c>
      <c r="D18" s="13" t="s">
        <v>913</v>
      </c>
      <c r="E18" s="32" t="s">
        <v>85</v>
      </c>
      <c r="F18" s="33" t="s">
        <v>832</v>
      </c>
      <c r="G18" s="34">
        <v>46156</v>
      </c>
      <c r="H18" s="35">
        <v>46169</v>
      </c>
      <c r="I18" s="36">
        <v>328700</v>
      </c>
      <c r="J18" s="37">
        <f>I18</f>
        <v>328700</v>
      </c>
      <c r="K18" s="19"/>
      <c r="L18" s="24"/>
      <c r="M18" s="24"/>
      <c r="N18" s="22" t="s">
        <v>155</v>
      </c>
      <c r="O18" s="22"/>
    </row>
    <row r="19" spans="2:15" x14ac:dyDescent="0.25">
      <c r="B19" s="11">
        <v>2</v>
      </c>
      <c r="C19" s="31"/>
      <c r="D19" s="13" t="s">
        <v>914</v>
      </c>
      <c r="E19" s="32" t="s">
        <v>915</v>
      </c>
      <c r="F19" s="33" t="s">
        <v>916</v>
      </c>
      <c r="G19" s="34">
        <v>46157</v>
      </c>
      <c r="H19" s="35">
        <v>46170</v>
      </c>
      <c r="I19" s="36">
        <v>543800</v>
      </c>
      <c r="J19" s="37">
        <v>243800</v>
      </c>
      <c r="K19" s="19"/>
      <c r="L19" s="24"/>
      <c r="M19" s="24"/>
      <c r="N19" s="22" t="s">
        <v>158</v>
      </c>
      <c r="O19" s="22"/>
    </row>
    <row r="20" spans="2:15" x14ac:dyDescent="0.25">
      <c r="B20" s="11">
        <v>3</v>
      </c>
      <c r="C20" s="31"/>
      <c r="D20" s="13" t="s">
        <v>917</v>
      </c>
      <c r="E20" s="32" t="s">
        <v>918</v>
      </c>
      <c r="F20" s="33" t="s">
        <v>919</v>
      </c>
      <c r="G20" s="34">
        <v>46157</v>
      </c>
      <c r="H20" s="35">
        <v>46170</v>
      </c>
      <c r="I20" s="36">
        <v>430200</v>
      </c>
      <c r="J20" s="37">
        <v>230200</v>
      </c>
      <c r="K20" s="19"/>
      <c r="L20" s="24"/>
      <c r="M20" s="24"/>
      <c r="N20" s="22" t="s">
        <v>158</v>
      </c>
      <c r="O20" s="22"/>
    </row>
    <row r="21" spans="2:15" x14ac:dyDescent="0.25">
      <c r="B21" s="11">
        <v>4</v>
      </c>
      <c r="C21" s="31"/>
      <c r="D21" s="13" t="s">
        <v>920</v>
      </c>
      <c r="E21" s="32" t="s">
        <v>263</v>
      </c>
      <c r="F21" s="33" t="s">
        <v>41</v>
      </c>
      <c r="G21" s="34">
        <v>46170</v>
      </c>
      <c r="H21" s="35">
        <v>46183</v>
      </c>
      <c r="I21" s="36">
        <v>430200</v>
      </c>
      <c r="J21" s="37">
        <f t="shared" ref="J21:J26" si="2">I21</f>
        <v>430200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5</v>
      </c>
      <c r="C22" s="31"/>
      <c r="D22" s="13" t="s">
        <v>923</v>
      </c>
      <c r="E22" s="32" t="s">
        <v>924</v>
      </c>
      <c r="F22" s="33" t="s">
        <v>922</v>
      </c>
      <c r="G22" s="34">
        <v>46171</v>
      </c>
      <c r="H22" s="35">
        <v>46184</v>
      </c>
      <c r="I22" s="36">
        <v>430200</v>
      </c>
      <c r="J22" s="37">
        <f t="shared" si="2"/>
        <v>430200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6</v>
      </c>
      <c r="C23" s="31"/>
      <c r="D23" s="13" t="s">
        <v>925</v>
      </c>
      <c r="E23" s="32" t="s">
        <v>926</v>
      </c>
      <c r="F23" s="33" t="s">
        <v>927</v>
      </c>
      <c r="G23" s="34">
        <v>46171</v>
      </c>
      <c r="H23" s="35">
        <v>46184</v>
      </c>
      <c r="I23" s="36">
        <v>430200</v>
      </c>
      <c r="J23" s="37">
        <f t="shared" si="2"/>
        <v>430200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7</v>
      </c>
      <c r="C24" s="31"/>
      <c r="D24" s="13" t="s">
        <v>928</v>
      </c>
      <c r="E24" s="32" t="s">
        <v>929</v>
      </c>
      <c r="F24" s="33" t="s">
        <v>930</v>
      </c>
      <c r="G24" s="34">
        <v>46171</v>
      </c>
      <c r="H24" s="35">
        <v>46184</v>
      </c>
      <c r="I24" s="36">
        <v>215100</v>
      </c>
      <c r="J24" s="37">
        <f t="shared" si="2"/>
        <v>215100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8</v>
      </c>
      <c r="C25" s="31"/>
      <c r="D25" s="13" t="s">
        <v>931</v>
      </c>
      <c r="E25" s="32" t="s">
        <v>932</v>
      </c>
      <c r="F25" s="33" t="s">
        <v>933</v>
      </c>
      <c r="G25" s="34">
        <v>46171</v>
      </c>
      <c r="H25" s="35">
        <v>46184</v>
      </c>
      <c r="I25" s="36">
        <v>1189100</v>
      </c>
      <c r="J25" s="37">
        <f t="shared" si="2"/>
        <v>1189100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9</v>
      </c>
      <c r="C26" s="31"/>
      <c r="D26" s="13" t="s">
        <v>935</v>
      </c>
      <c r="E26" s="32" t="s">
        <v>936</v>
      </c>
      <c r="F26" s="33" t="s">
        <v>934</v>
      </c>
      <c r="G26" s="34">
        <v>46171</v>
      </c>
      <c r="H26" s="35">
        <v>46184</v>
      </c>
      <c r="I26" s="36">
        <v>215100</v>
      </c>
      <c r="J26" s="37">
        <f t="shared" si="2"/>
        <v>215100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10</v>
      </c>
      <c r="C27" s="31"/>
      <c r="D27" s="13" t="s">
        <v>937</v>
      </c>
      <c r="E27" s="32" t="s">
        <v>915</v>
      </c>
      <c r="F27" s="33" t="s">
        <v>916</v>
      </c>
      <c r="G27" s="34">
        <v>46157</v>
      </c>
      <c r="H27" s="35">
        <v>46170</v>
      </c>
      <c r="I27" s="36">
        <v>68556</v>
      </c>
      <c r="J27" s="37"/>
      <c r="K27" s="19"/>
      <c r="L27" s="24">
        <f>I27</f>
        <v>68556</v>
      </c>
      <c r="M27" s="24"/>
      <c r="N27" s="22" t="s">
        <v>155</v>
      </c>
      <c r="O27" s="22"/>
    </row>
    <row r="28" spans="2:15" x14ac:dyDescent="0.25">
      <c r="B28" s="11">
        <v>11</v>
      </c>
      <c r="C28" s="31"/>
      <c r="D28" s="13" t="s">
        <v>938</v>
      </c>
      <c r="E28" s="32" t="s">
        <v>263</v>
      </c>
      <c r="F28" s="33" t="s">
        <v>41</v>
      </c>
      <c r="G28" s="34">
        <v>46170</v>
      </c>
      <c r="H28" s="35">
        <v>46183</v>
      </c>
      <c r="I28" s="36">
        <v>128498</v>
      </c>
      <c r="J28" s="37"/>
      <c r="K28" s="19"/>
      <c r="L28" s="24">
        <f t="shared" ref="L28:L30" si="3">I28</f>
        <v>128498</v>
      </c>
      <c r="M28" s="24"/>
      <c r="N28" s="22" t="s">
        <v>155</v>
      </c>
      <c r="O28" s="22"/>
    </row>
    <row r="29" spans="2:15" x14ac:dyDescent="0.25">
      <c r="B29" s="11">
        <v>12</v>
      </c>
      <c r="C29" s="31"/>
      <c r="D29" s="13" t="s">
        <v>939</v>
      </c>
      <c r="E29" s="32" t="s">
        <v>940</v>
      </c>
      <c r="F29" s="33" t="s">
        <v>41</v>
      </c>
      <c r="G29" s="34">
        <v>46170</v>
      </c>
      <c r="H29" s="35">
        <v>46183</v>
      </c>
      <c r="I29" s="36">
        <v>304500</v>
      </c>
      <c r="J29" s="37"/>
      <c r="K29" s="19"/>
      <c r="L29" s="24">
        <f t="shared" si="3"/>
        <v>304500</v>
      </c>
      <c r="M29" s="24"/>
      <c r="N29" s="22" t="s">
        <v>155</v>
      </c>
      <c r="O29" s="22"/>
    </row>
    <row r="30" spans="2:15" x14ac:dyDescent="0.25">
      <c r="B30" s="11">
        <v>13</v>
      </c>
      <c r="C30" s="31"/>
      <c r="D30" s="13" t="s">
        <v>941</v>
      </c>
      <c r="E30" s="32" t="s">
        <v>921</v>
      </c>
      <c r="F30" s="33" t="s">
        <v>922</v>
      </c>
      <c r="G30" s="34">
        <v>46171</v>
      </c>
      <c r="H30" s="35">
        <v>46184</v>
      </c>
      <c r="I30" s="36">
        <v>238000</v>
      </c>
      <c r="J30" s="37"/>
      <c r="K30" s="19"/>
      <c r="L30" s="24">
        <f t="shared" si="3"/>
        <v>238000</v>
      </c>
      <c r="M30" s="24"/>
      <c r="N30" s="22" t="s">
        <v>155</v>
      </c>
      <c r="O30" s="22"/>
    </row>
    <row r="31" spans="2:15" ht="15.75" x14ac:dyDescent="0.25">
      <c r="B31" s="192" t="s">
        <v>13</v>
      </c>
      <c r="C31" s="193"/>
      <c r="D31" s="193"/>
      <c r="E31" s="193"/>
      <c r="F31" s="193"/>
      <c r="G31" s="193"/>
      <c r="H31" s="193"/>
      <c r="I31" s="194"/>
      <c r="J31" s="38">
        <f>SUM(J18:J30)</f>
        <v>3712600</v>
      </c>
      <c r="K31" s="26">
        <f>SUM(K18:K30)</f>
        <v>0</v>
      </c>
      <c r="L31" s="27">
        <f>SUM(L18:L30)</f>
        <v>739554</v>
      </c>
      <c r="M31" s="27">
        <f>SUM(M18:M30)</f>
        <v>0</v>
      </c>
      <c r="N31" s="39"/>
      <c r="O31" s="40">
        <f>SUM(J31+K31+L31+M31)</f>
        <v>4452154</v>
      </c>
    </row>
    <row r="32" spans="2:15" ht="15.75" x14ac:dyDescent="0.25">
      <c r="B32" s="195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</row>
    <row r="33" spans="2:15" ht="15.75" x14ac:dyDescent="0.25">
      <c r="B33" s="42">
        <v>1</v>
      </c>
      <c r="C33" s="43" t="s">
        <v>21</v>
      </c>
      <c r="D33" s="44" t="s">
        <v>898</v>
      </c>
      <c r="E33" s="45" t="s">
        <v>899</v>
      </c>
      <c r="F33" s="45" t="s">
        <v>900</v>
      </c>
      <c r="G33" s="46">
        <v>46171</v>
      </c>
      <c r="H33" s="46">
        <v>46184</v>
      </c>
      <c r="I33" s="47">
        <v>227200</v>
      </c>
      <c r="J33" s="48">
        <f>I33</f>
        <v>227200</v>
      </c>
      <c r="K33" s="49"/>
      <c r="L33" s="50"/>
      <c r="M33" s="50"/>
      <c r="N33" s="22" t="s">
        <v>155</v>
      </c>
      <c r="O33" s="42"/>
    </row>
    <row r="34" spans="2:15" ht="15.75" x14ac:dyDescent="0.25">
      <c r="B34" s="42">
        <v>2</v>
      </c>
      <c r="C34" s="43"/>
      <c r="D34" s="44" t="s">
        <v>901</v>
      </c>
      <c r="E34" s="45" t="s">
        <v>902</v>
      </c>
      <c r="F34" s="45" t="s">
        <v>900</v>
      </c>
      <c r="G34" s="46">
        <v>46171</v>
      </c>
      <c r="H34" s="46">
        <v>46184</v>
      </c>
      <c r="I34" s="47">
        <v>442300</v>
      </c>
      <c r="J34" s="48">
        <f t="shared" ref="J34:J36" si="4">I34</f>
        <v>442300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3</v>
      </c>
      <c r="C35" s="43"/>
      <c r="D35" s="44" t="s">
        <v>903</v>
      </c>
      <c r="E35" s="45" t="s">
        <v>904</v>
      </c>
      <c r="F35" s="45" t="s">
        <v>905</v>
      </c>
      <c r="G35" s="46">
        <v>46171</v>
      </c>
      <c r="H35" s="46">
        <v>46184</v>
      </c>
      <c r="I35" s="47">
        <v>113600</v>
      </c>
      <c r="J35" s="48">
        <f t="shared" si="4"/>
        <v>113600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4</v>
      </c>
      <c r="C36" s="43"/>
      <c r="D36" s="44" t="s">
        <v>906</v>
      </c>
      <c r="E36" s="45" t="s">
        <v>907</v>
      </c>
      <c r="F36" s="45" t="s">
        <v>908</v>
      </c>
      <c r="G36" s="46">
        <v>46171</v>
      </c>
      <c r="H36" s="46">
        <v>46184</v>
      </c>
      <c r="I36" s="47">
        <v>340800</v>
      </c>
      <c r="J36" s="48">
        <f t="shared" si="4"/>
        <v>340800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5</v>
      </c>
      <c r="C37" s="43"/>
      <c r="D37" s="44" t="s">
        <v>620</v>
      </c>
      <c r="E37" s="45" t="s">
        <v>621</v>
      </c>
      <c r="F37" s="45" t="s">
        <v>423</v>
      </c>
      <c r="G37" s="46">
        <v>46167</v>
      </c>
      <c r="H37" s="46">
        <v>46180</v>
      </c>
      <c r="I37" s="47">
        <v>570000</v>
      </c>
      <c r="J37" s="48"/>
      <c r="K37" s="49"/>
      <c r="L37" s="51">
        <f>I37</f>
        <v>570000</v>
      </c>
      <c r="M37" s="50"/>
      <c r="N37" s="22" t="s">
        <v>155</v>
      </c>
      <c r="O37" s="42"/>
    </row>
    <row r="38" spans="2:15" ht="15.75" x14ac:dyDescent="0.25">
      <c r="B38" s="42">
        <v>6</v>
      </c>
      <c r="C38" s="43"/>
      <c r="D38" s="44" t="s">
        <v>909</v>
      </c>
      <c r="E38" s="45" t="s">
        <v>907</v>
      </c>
      <c r="F38" s="45" t="s">
        <v>908</v>
      </c>
      <c r="G38" s="46">
        <v>46171</v>
      </c>
      <c r="H38" s="46">
        <v>46184</v>
      </c>
      <c r="I38" s="47">
        <v>229498</v>
      </c>
      <c r="J38" s="48"/>
      <c r="K38" s="49"/>
      <c r="L38" s="51">
        <f t="shared" ref="L38:L40" si="5">I38</f>
        <v>229498</v>
      </c>
      <c r="M38" s="50"/>
      <c r="N38" s="22" t="s">
        <v>155</v>
      </c>
      <c r="O38" s="42"/>
    </row>
    <row r="39" spans="2:15" ht="15.75" x14ac:dyDescent="0.25">
      <c r="B39" s="42">
        <v>7</v>
      </c>
      <c r="C39" s="43"/>
      <c r="D39" s="44" t="s">
        <v>910</v>
      </c>
      <c r="E39" s="45" t="s">
        <v>904</v>
      </c>
      <c r="F39" s="45" t="s">
        <v>905</v>
      </c>
      <c r="G39" s="46">
        <v>46171</v>
      </c>
      <c r="H39" s="46">
        <v>46184</v>
      </c>
      <c r="I39" s="47">
        <v>1272600</v>
      </c>
      <c r="J39" s="48"/>
      <c r="K39" s="49"/>
      <c r="L39" s="51">
        <f t="shared" si="5"/>
        <v>1272600</v>
      </c>
      <c r="M39" s="50"/>
      <c r="N39" s="22" t="s">
        <v>155</v>
      </c>
      <c r="O39" s="42"/>
    </row>
    <row r="40" spans="2:15" ht="15.75" x14ac:dyDescent="0.25">
      <c r="B40" s="42">
        <v>8</v>
      </c>
      <c r="C40" s="43"/>
      <c r="D40" s="44" t="s">
        <v>911</v>
      </c>
      <c r="E40" s="45" t="s">
        <v>912</v>
      </c>
      <c r="F40" s="45" t="s">
        <v>900</v>
      </c>
      <c r="G40" s="46">
        <v>46171</v>
      </c>
      <c r="H40" s="46">
        <v>46184</v>
      </c>
      <c r="I40" s="47">
        <v>144000</v>
      </c>
      <c r="J40" s="48"/>
      <c r="K40" s="49"/>
      <c r="L40" s="51">
        <f t="shared" si="5"/>
        <v>144000</v>
      </c>
      <c r="M40" s="51"/>
      <c r="N40" s="22" t="s">
        <v>155</v>
      </c>
      <c r="O40" s="42"/>
    </row>
    <row r="41" spans="2:15" ht="15.75" x14ac:dyDescent="0.25">
      <c r="B41" s="197" t="s">
        <v>13</v>
      </c>
      <c r="C41" s="198"/>
      <c r="D41" s="198"/>
      <c r="E41" s="198"/>
      <c r="F41" s="198"/>
      <c r="G41" s="198"/>
      <c r="H41" s="198"/>
      <c r="I41" s="199"/>
      <c r="J41" s="52">
        <f>SUM(J33:J40)</f>
        <v>1123900</v>
      </c>
      <c r="K41" s="53">
        <f>SUM(K33:K40)</f>
        <v>0</v>
      </c>
      <c r="L41" s="54">
        <f>SUM(L33:L40)</f>
        <v>2216098</v>
      </c>
      <c r="M41" s="54">
        <f>SUM(M33:M40)</f>
        <v>0</v>
      </c>
      <c r="N41" s="55"/>
      <c r="O41" s="56">
        <f>SUM(J41+K41+L41+M41)</f>
        <v>3339998</v>
      </c>
    </row>
    <row r="42" spans="2:15" x14ac:dyDescent="0.25">
      <c r="D42" s="57"/>
      <c r="I42" s="58"/>
      <c r="J42" s="58"/>
    </row>
    <row r="43" spans="2:15" x14ac:dyDescent="0.25">
      <c r="D43" s="57"/>
      <c r="I43" s="58"/>
      <c r="J43" s="58"/>
    </row>
    <row r="44" spans="2:15" ht="15.75" x14ac:dyDescent="0.25">
      <c r="D44" s="57"/>
      <c r="G44" s="200" t="s">
        <v>22</v>
      </c>
      <c r="H44" s="200"/>
      <c r="I44" s="200"/>
      <c r="J44" s="59">
        <f>SUM(J41+J31+J16)</f>
        <v>5982900</v>
      </c>
      <c r="K44" s="26">
        <f>SUM(K41+K31+K16)</f>
        <v>0</v>
      </c>
      <c r="L44" s="60">
        <f>SUM(L41+L31+L16)</f>
        <v>14178784</v>
      </c>
      <c r="M44" s="60">
        <f>SUM(M41+M31+M16)</f>
        <v>0</v>
      </c>
      <c r="N44" s="39"/>
      <c r="O44" s="30">
        <f>SUM(J44+K44+L44+M44)</f>
        <v>20161684</v>
      </c>
    </row>
    <row r="45" spans="2:15" x14ac:dyDescent="0.25">
      <c r="D45" s="57"/>
      <c r="I45" s="58"/>
      <c r="J45" s="58"/>
    </row>
    <row r="46" spans="2:15" x14ac:dyDescent="0.25">
      <c r="B46" s="201" t="s">
        <v>17</v>
      </c>
      <c r="C46" s="201"/>
      <c r="D46" s="201"/>
      <c r="I46" s="58"/>
      <c r="J46" s="58"/>
    </row>
    <row r="47" spans="2:15" ht="15.75" x14ac:dyDescent="0.25">
      <c r="B47" s="188" t="s">
        <v>4</v>
      </c>
      <c r="C47" s="202" t="s">
        <v>23</v>
      </c>
      <c r="D47" s="188" t="s">
        <v>6</v>
      </c>
      <c r="E47" s="188" t="s">
        <v>7</v>
      </c>
      <c r="F47" s="188" t="s">
        <v>8</v>
      </c>
      <c r="G47" s="188" t="s">
        <v>9</v>
      </c>
      <c r="H47" s="188" t="s">
        <v>10</v>
      </c>
      <c r="I47" s="202" t="s">
        <v>24</v>
      </c>
      <c r="J47" s="169" t="s">
        <v>12</v>
      </c>
      <c r="K47" s="170"/>
      <c r="L47" s="170"/>
      <c r="M47" s="170"/>
      <c r="N47" s="171"/>
      <c r="O47" s="204" t="s">
        <v>13</v>
      </c>
    </row>
    <row r="48" spans="2:15" ht="15.75" x14ac:dyDescent="0.25">
      <c r="B48" s="189"/>
      <c r="C48" s="203"/>
      <c r="D48" s="189"/>
      <c r="E48" s="189"/>
      <c r="F48" s="189"/>
      <c r="G48" s="189"/>
      <c r="H48" s="189"/>
      <c r="I48" s="203"/>
      <c r="J48" s="164" t="s">
        <v>14</v>
      </c>
      <c r="K48" s="165"/>
      <c r="L48" s="166" t="s">
        <v>15</v>
      </c>
      <c r="M48" s="167"/>
      <c r="N48" s="4" t="s">
        <v>16</v>
      </c>
      <c r="O48" s="205"/>
    </row>
    <row r="49" spans="1:15" ht="15.75" x14ac:dyDescent="0.25">
      <c r="B49" s="5"/>
      <c r="C49" s="61"/>
      <c r="D49" s="5"/>
      <c r="E49" s="5"/>
      <c r="F49" s="5"/>
      <c r="G49" s="5"/>
      <c r="H49" s="5"/>
      <c r="I49" s="61"/>
      <c r="J49" s="62" t="s">
        <v>17</v>
      </c>
      <c r="K49" s="6" t="s">
        <v>18</v>
      </c>
      <c r="L49" s="10" t="s">
        <v>17</v>
      </c>
      <c r="M49" s="10" t="s">
        <v>18</v>
      </c>
      <c r="N49" s="4"/>
      <c r="O49" s="7"/>
    </row>
    <row r="50" spans="1:15" ht="15" customHeight="1" x14ac:dyDescent="0.25">
      <c r="B50" s="63">
        <v>1</v>
      </c>
      <c r="C50" s="43" t="s">
        <v>330</v>
      </c>
      <c r="D50" s="64" t="s">
        <v>877</v>
      </c>
      <c r="E50" s="65" t="s">
        <v>878</v>
      </c>
      <c r="F50" s="65" t="s">
        <v>814</v>
      </c>
      <c r="G50" s="66">
        <v>46184</v>
      </c>
      <c r="H50" s="66"/>
      <c r="I50" s="67">
        <v>215100</v>
      </c>
      <c r="J50" s="37">
        <f t="shared" ref="J50:J56" si="6">I50</f>
        <v>215100</v>
      </c>
      <c r="K50" s="68"/>
      <c r="L50" s="69"/>
      <c r="M50" s="69"/>
      <c r="N50" s="22" t="s">
        <v>155</v>
      </c>
      <c r="O50" s="70"/>
    </row>
    <row r="51" spans="1:15" ht="15" customHeight="1" x14ac:dyDescent="0.25">
      <c r="B51" s="63">
        <v>2</v>
      </c>
      <c r="C51" s="43" t="s">
        <v>330</v>
      </c>
      <c r="D51" s="64" t="s">
        <v>879</v>
      </c>
      <c r="E51" s="65" t="s">
        <v>880</v>
      </c>
      <c r="F51" s="65" t="s">
        <v>881</v>
      </c>
      <c r="G51" s="66">
        <v>46184</v>
      </c>
      <c r="H51" s="66"/>
      <c r="I51" s="67">
        <v>215100</v>
      </c>
      <c r="J51" s="37">
        <f t="shared" si="6"/>
        <v>215100</v>
      </c>
      <c r="K51" s="68"/>
      <c r="L51" s="69"/>
      <c r="M51" s="69"/>
      <c r="N51" s="22" t="s">
        <v>155</v>
      </c>
      <c r="O51" s="70"/>
    </row>
    <row r="52" spans="1:15" ht="15" customHeight="1" x14ac:dyDescent="0.25">
      <c r="B52" s="63">
        <v>3</v>
      </c>
      <c r="C52" s="43" t="s">
        <v>330</v>
      </c>
      <c r="D52" s="64" t="s">
        <v>882</v>
      </c>
      <c r="E52" s="65" t="s">
        <v>878</v>
      </c>
      <c r="F52" s="65" t="s">
        <v>814</v>
      </c>
      <c r="G52" s="66">
        <v>46184</v>
      </c>
      <c r="H52" s="66"/>
      <c r="I52" s="67">
        <v>117140</v>
      </c>
      <c r="J52" s="37"/>
      <c r="K52" s="68"/>
      <c r="L52" s="159">
        <f>I52</f>
        <v>117140</v>
      </c>
      <c r="M52" s="69"/>
      <c r="N52" s="22" t="s">
        <v>155</v>
      </c>
      <c r="O52" s="70"/>
    </row>
    <row r="53" spans="1:15" ht="15" customHeight="1" x14ac:dyDescent="0.25">
      <c r="B53" s="63">
        <v>4</v>
      </c>
      <c r="C53" s="43" t="s">
        <v>330</v>
      </c>
      <c r="D53" s="64" t="s">
        <v>883</v>
      </c>
      <c r="E53" s="65" t="s">
        <v>880</v>
      </c>
      <c r="F53" s="65" t="s">
        <v>881</v>
      </c>
      <c r="G53" s="66">
        <v>46184</v>
      </c>
      <c r="H53" s="66"/>
      <c r="I53" s="67">
        <v>417000</v>
      </c>
      <c r="J53" s="37"/>
      <c r="K53" s="68"/>
      <c r="L53" s="159">
        <f t="shared" ref="L53:L55" si="7">I53</f>
        <v>417000</v>
      </c>
      <c r="M53" s="69"/>
      <c r="N53" s="22" t="s">
        <v>155</v>
      </c>
      <c r="O53" s="70"/>
    </row>
    <row r="54" spans="1:15" ht="15" customHeight="1" x14ac:dyDescent="0.25">
      <c r="B54" s="63">
        <v>5</v>
      </c>
      <c r="C54" s="43" t="s">
        <v>330</v>
      </c>
      <c r="D54" s="71" t="s">
        <v>884</v>
      </c>
      <c r="E54" s="71" t="s">
        <v>885</v>
      </c>
      <c r="F54" s="70" t="s">
        <v>333</v>
      </c>
      <c r="G54" s="66">
        <v>46184</v>
      </c>
      <c r="H54" s="72"/>
      <c r="I54" s="22">
        <v>435000</v>
      </c>
      <c r="J54" s="37"/>
      <c r="K54" s="68"/>
      <c r="L54" s="159">
        <f t="shared" si="7"/>
        <v>435000</v>
      </c>
      <c r="M54" s="69"/>
      <c r="N54" s="22" t="s">
        <v>155</v>
      </c>
      <c r="O54" s="70"/>
    </row>
    <row r="55" spans="1:15" ht="15" customHeight="1" x14ac:dyDescent="0.25">
      <c r="B55" s="63">
        <v>6</v>
      </c>
      <c r="C55" s="43" t="s">
        <v>330</v>
      </c>
      <c r="D55" s="71" t="s">
        <v>886</v>
      </c>
      <c r="E55" s="71" t="s">
        <v>887</v>
      </c>
      <c r="F55" s="70" t="s">
        <v>888</v>
      </c>
      <c r="G55" s="66">
        <v>46184</v>
      </c>
      <c r="H55" s="72"/>
      <c r="I55" s="22">
        <v>460500</v>
      </c>
      <c r="J55" s="37"/>
      <c r="K55" s="68"/>
      <c r="L55" s="159">
        <f t="shared" si="7"/>
        <v>460500</v>
      </c>
      <c r="M55" s="69"/>
      <c r="N55" s="22" t="s">
        <v>155</v>
      </c>
      <c r="O55" s="70"/>
    </row>
    <row r="56" spans="1:15" ht="15" customHeight="1" x14ac:dyDescent="0.25">
      <c r="B56" s="63">
        <v>7</v>
      </c>
      <c r="C56" s="43" t="s">
        <v>440</v>
      </c>
      <c r="D56" s="71" t="s">
        <v>889</v>
      </c>
      <c r="E56" s="71" t="s">
        <v>890</v>
      </c>
      <c r="F56" s="70" t="s">
        <v>41</v>
      </c>
      <c r="G56" s="66">
        <v>46184</v>
      </c>
      <c r="H56" s="72"/>
      <c r="I56" s="22">
        <v>1063000</v>
      </c>
      <c r="J56" s="37">
        <f t="shared" si="6"/>
        <v>1063000</v>
      </c>
      <c r="K56" s="68"/>
      <c r="L56" s="24"/>
      <c r="M56" s="69"/>
      <c r="N56" s="22" t="s">
        <v>155</v>
      </c>
      <c r="O56" s="70"/>
    </row>
    <row r="57" spans="1:15" ht="15" customHeight="1" x14ac:dyDescent="0.25">
      <c r="B57" s="63">
        <v>8</v>
      </c>
      <c r="C57" s="43" t="s">
        <v>440</v>
      </c>
      <c r="D57" s="71" t="s">
        <v>891</v>
      </c>
      <c r="E57" s="71" t="s">
        <v>892</v>
      </c>
      <c r="F57" s="70" t="s">
        <v>41</v>
      </c>
      <c r="G57" s="66">
        <v>46184</v>
      </c>
      <c r="H57" s="72"/>
      <c r="I57" s="22">
        <v>286500</v>
      </c>
      <c r="J57" s="37"/>
      <c r="K57" s="68"/>
      <c r="L57" s="24">
        <f>I57</f>
        <v>286500</v>
      </c>
      <c r="M57" s="69"/>
      <c r="N57" s="22" t="s">
        <v>155</v>
      </c>
      <c r="O57" s="70"/>
    </row>
    <row r="58" spans="1:15" ht="15.75" x14ac:dyDescent="0.25">
      <c r="B58" s="169" t="s">
        <v>25</v>
      </c>
      <c r="C58" s="170"/>
      <c r="D58" s="170"/>
      <c r="E58" s="170"/>
      <c r="F58" s="170"/>
      <c r="G58" s="170"/>
      <c r="H58" s="170"/>
      <c r="I58" s="171"/>
      <c r="J58" s="25">
        <f>SUM(J50:J57)</f>
        <v>1493200</v>
      </c>
      <c r="K58" s="74">
        <f>SUM(K50:K57)</f>
        <v>0</v>
      </c>
      <c r="L58" s="60">
        <f>SUM(L50:L57)</f>
        <v>1716140</v>
      </c>
      <c r="M58" s="60">
        <f>SUM(M50:M57)</f>
        <v>0</v>
      </c>
      <c r="N58" s="39"/>
      <c r="O58" s="75">
        <f>SUM(J58+K58+L58+M58)</f>
        <v>3209340</v>
      </c>
    </row>
    <row r="59" spans="1:15" ht="15.75" x14ac:dyDescent="0.25">
      <c r="B59" s="172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</row>
    <row r="60" spans="1:15" x14ac:dyDescent="0.25">
      <c r="B60" s="44">
        <v>1</v>
      </c>
      <c r="C60" s="12" t="s">
        <v>154</v>
      </c>
      <c r="D60" s="71" t="s">
        <v>893</v>
      </c>
      <c r="E60" s="71" t="s">
        <v>894</v>
      </c>
      <c r="F60" s="70" t="s">
        <v>307</v>
      </c>
      <c r="G60" s="66">
        <v>46184</v>
      </c>
      <c r="H60" s="72"/>
      <c r="I60" s="22">
        <v>652500</v>
      </c>
      <c r="J60" s="73"/>
      <c r="K60" s="68"/>
      <c r="L60" s="24">
        <f>I60</f>
        <v>652500</v>
      </c>
      <c r="M60" s="69"/>
      <c r="N60" s="22" t="s">
        <v>155</v>
      </c>
      <c r="O60" s="70"/>
    </row>
    <row r="61" spans="1:15" x14ac:dyDescent="0.25">
      <c r="B61" s="44">
        <v>2</v>
      </c>
      <c r="C61" s="12" t="s">
        <v>154</v>
      </c>
      <c r="D61" s="71" t="s">
        <v>895</v>
      </c>
      <c r="E61" s="71" t="s">
        <v>896</v>
      </c>
      <c r="F61" s="70" t="s">
        <v>897</v>
      </c>
      <c r="G61" s="66">
        <v>46184</v>
      </c>
      <c r="H61" s="72"/>
      <c r="I61" s="22">
        <v>130500</v>
      </c>
      <c r="J61" s="73"/>
      <c r="K61" s="68"/>
      <c r="L61" s="24">
        <f>I61</f>
        <v>130500</v>
      </c>
      <c r="M61" s="24"/>
      <c r="N61" s="22" t="s">
        <v>155</v>
      </c>
      <c r="O61" s="70"/>
    </row>
    <row r="62" spans="1:15" ht="15.75" x14ac:dyDescent="0.25">
      <c r="A62" t="s">
        <v>3</v>
      </c>
      <c r="B62" s="169" t="s">
        <v>25</v>
      </c>
      <c r="C62" s="170"/>
      <c r="D62" s="170"/>
      <c r="E62" s="170"/>
      <c r="F62" s="170"/>
      <c r="G62" s="170"/>
      <c r="H62" s="170"/>
      <c r="I62" s="171"/>
      <c r="J62" s="76">
        <f>SUM(J60:J61)</f>
        <v>0</v>
      </c>
      <c r="K62" s="74">
        <f>SUM(K60:K61)</f>
        <v>0</v>
      </c>
      <c r="L62" s="60">
        <f>SUM(L60:L61)</f>
        <v>783000</v>
      </c>
      <c r="M62" s="60">
        <f>SUM(M60:M61)</f>
        <v>0</v>
      </c>
      <c r="N62" s="39"/>
      <c r="O62" s="75">
        <f>SUM(J62+K62+L62+M62)</f>
        <v>783000</v>
      </c>
    </row>
    <row r="63" spans="1:15" x14ac:dyDescent="0.25">
      <c r="D63" s="57"/>
      <c r="I63" s="58"/>
      <c r="J63" s="58"/>
    </row>
    <row r="64" spans="1:15" ht="15.75" x14ac:dyDescent="0.25">
      <c r="D64" s="57"/>
      <c r="G64" s="162" t="s">
        <v>1646</v>
      </c>
      <c r="H64" s="162"/>
      <c r="I64" s="163"/>
      <c r="J64" s="25">
        <f>SUM(J62+J58)</f>
        <v>1493200</v>
      </c>
      <c r="K64" s="74">
        <f>SUM(K62+K58)</f>
        <v>0</v>
      </c>
      <c r="L64" s="60">
        <f>SUM(L62+L58)</f>
        <v>2499140</v>
      </c>
      <c r="M64" s="60">
        <f>SUM(M62+M58)</f>
        <v>0</v>
      </c>
      <c r="N64" s="39"/>
      <c r="O64" s="77">
        <f>SUM(J64+K64+L64+M64)</f>
        <v>3992340</v>
      </c>
    </row>
    <row r="65" spans="4:15" ht="15.75" x14ac:dyDescent="0.25">
      <c r="D65" s="57"/>
      <c r="H65" s="41"/>
      <c r="I65" s="41"/>
      <c r="J65" s="41"/>
      <c r="K65" s="78"/>
      <c r="L65" s="78"/>
      <c r="M65" s="78"/>
      <c r="N65" s="79"/>
      <c r="O65" s="80"/>
    </row>
    <row r="66" spans="4:15" ht="15.75" x14ac:dyDescent="0.25">
      <c r="D66" s="57"/>
      <c r="H66" s="174" t="s">
        <v>27</v>
      </c>
      <c r="I66" s="175"/>
      <c r="J66" s="180" t="s">
        <v>14</v>
      </c>
      <c r="K66" s="180"/>
      <c r="L66" s="181" t="s">
        <v>15</v>
      </c>
      <c r="M66" s="181"/>
      <c r="N66" s="70"/>
      <c r="O66" s="182"/>
    </row>
    <row r="67" spans="4:15" ht="15.75" x14ac:dyDescent="0.25">
      <c r="D67" s="57"/>
      <c r="H67" s="176"/>
      <c r="I67" s="177"/>
      <c r="J67" s="6" t="s">
        <v>17</v>
      </c>
      <c r="K67" s="81" t="s">
        <v>18</v>
      </c>
      <c r="L67" s="82" t="s">
        <v>17</v>
      </c>
      <c r="M67" s="82" t="s">
        <v>18</v>
      </c>
      <c r="N67" s="70"/>
      <c r="O67" s="182"/>
    </row>
    <row r="68" spans="4:15" ht="15.75" x14ac:dyDescent="0.25">
      <c r="D68" s="57"/>
      <c r="H68" s="178"/>
      <c r="I68" s="179"/>
      <c r="J68" s="74">
        <f>SUM(J44,J64)</f>
        <v>7476100</v>
      </c>
      <c r="K68" s="74">
        <f>SUM(K64+K44)</f>
        <v>0</v>
      </c>
      <c r="L68" s="60">
        <f>SUM(L64+L44)</f>
        <v>16677924</v>
      </c>
      <c r="M68" s="60">
        <f>SUM(M64+M44)</f>
        <v>0</v>
      </c>
      <c r="N68" s="39"/>
      <c r="O68" s="182"/>
    </row>
    <row r="69" spans="4:15" x14ac:dyDescent="0.25">
      <c r="D69" s="57"/>
      <c r="I69" s="58"/>
      <c r="J69" s="58"/>
    </row>
    <row r="70" spans="4:15" ht="18.75" x14ac:dyDescent="0.3">
      <c r="D70" s="57"/>
      <c r="H70" s="183"/>
      <c r="I70" s="183"/>
      <c r="J70" s="83"/>
      <c r="L70" s="184" t="s">
        <v>28</v>
      </c>
      <c r="M70" s="185"/>
      <c r="N70" s="84">
        <f>SUM(J68+L68)</f>
        <v>24154024</v>
      </c>
      <c r="O70" s="186">
        <f>SUM(N70+N71)</f>
        <v>24154024</v>
      </c>
    </row>
    <row r="71" spans="4:15" ht="18.75" x14ac:dyDescent="0.3">
      <c r="D71" s="57"/>
      <c r="H71" s="183"/>
      <c r="I71" s="183"/>
      <c r="J71" s="83"/>
      <c r="L71" s="184" t="s">
        <v>29</v>
      </c>
      <c r="M71" s="185"/>
      <c r="N71" s="84">
        <f>SUM(K68+M68)</f>
        <v>0</v>
      </c>
      <c r="O71" s="187"/>
    </row>
    <row r="72" spans="4:15" ht="18.75" x14ac:dyDescent="0.3">
      <c r="D72" s="57"/>
      <c r="H72" s="168"/>
      <c r="I72" s="168"/>
      <c r="J72" s="85"/>
      <c r="K72" s="86"/>
    </row>
    <row r="73" spans="4:15" x14ac:dyDescent="0.25">
      <c r="D73" s="2" t="s">
        <v>30</v>
      </c>
      <c r="E73" s="1"/>
      <c r="F73" s="1"/>
      <c r="G73" s="1"/>
      <c r="H73" s="1"/>
      <c r="I73" s="1"/>
      <c r="J73" s="1"/>
      <c r="K73" s="1"/>
    </row>
    <row r="74" spans="4:15" x14ac:dyDescent="0.25">
      <c r="D74" s="2"/>
      <c r="E74" s="1"/>
      <c r="F74" s="1"/>
      <c r="G74" s="1"/>
      <c r="H74" s="1"/>
      <c r="I74" s="1"/>
      <c r="J74" s="1"/>
      <c r="K74" s="1"/>
    </row>
    <row r="75" spans="4:15" x14ac:dyDescent="0.25">
      <c r="D75" s="3" t="s">
        <v>31</v>
      </c>
      <c r="E75" s="3"/>
      <c r="F75" s="3" t="s">
        <v>32</v>
      </c>
      <c r="G75" s="3"/>
      <c r="H75" s="3" t="s">
        <v>33</v>
      </c>
      <c r="I75" s="3"/>
      <c r="J75" s="3" t="s">
        <v>34</v>
      </c>
      <c r="K75" s="3"/>
    </row>
    <row r="76" spans="4:15" x14ac:dyDescent="0.25">
      <c r="D76" s="3"/>
      <c r="E76" s="3"/>
      <c r="F76" s="3"/>
      <c r="G76" s="3"/>
      <c r="H76" s="3"/>
      <c r="I76" s="3"/>
      <c r="J76" s="3"/>
      <c r="K76" s="3"/>
    </row>
    <row r="77" spans="4:15" x14ac:dyDescent="0.25">
      <c r="D77" s="3"/>
      <c r="E77" s="3"/>
      <c r="F77" s="3"/>
      <c r="G77" s="3"/>
      <c r="H77" s="3"/>
      <c r="I77" s="3"/>
      <c r="J77" s="3"/>
      <c r="K77" s="3"/>
    </row>
    <row r="78" spans="4:15" x14ac:dyDescent="0.25">
      <c r="D78" s="3"/>
      <c r="E78" s="3"/>
      <c r="F78" s="3"/>
      <c r="G78" s="3"/>
      <c r="H78" s="3"/>
      <c r="I78" s="3"/>
      <c r="J78" s="3"/>
      <c r="K78" s="3"/>
    </row>
    <row r="79" spans="4:15" x14ac:dyDescent="0.25">
      <c r="D79" s="3" t="s">
        <v>35</v>
      </c>
      <c r="E79" s="3"/>
      <c r="F79" s="3" t="s">
        <v>36</v>
      </c>
      <c r="G79" s="3"/>
      <c r="H79" s="3" t="s">
        <v>36</v>
      </c>
      <c r="I79" s="3"/>
      <c r="J79" s="3" t="s">
        <v>37</v>
      </c>
      <c r="K79" s="3"/>
    </row>
    <row r="80" spans="4:15" x14ac:dyDescent="0.25">
      <c r="D80" s="57"/>
    </row>
    <row r="81" spans="4:4" x14ac:dyDescent="0.25">
      <c r="D81" s="57"/>
    </row>
    <row r="82" spans="4:4" x14ac:dyDescent="0.25">
      <c r="D82" s="57"/>
    </row>
    <row r="83" spans="4:4" x14ac:dyDescent="0.25">
      <c r="D83" s="57"/>
    </row>
    <row r="84" spans="4:4" x14ac:dyDescent="0.25">
      <c r="D84" s="57"/>
    </row>
  </sheetData>
  <mergeCells count="48">
    <mergeCell ref="B16:I1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47:G48"/>
    <mergeCell ref="B17:O17"/>
    <mergeCell ref="B31:I31"/>
    <mergeCell ref="B32:O32"/>
    <mergeCell ref="B41:I41"/>
    <mergeCell ref="G44:I44"/>
    <mergeCell ref="B46:D46"/>
    <mergeCell ref="B47:B48"/>
    <mergeCell ref="C47:C48"/>
    <mergeCell ref="D47:D48"/>
    <mergeCell ref="E47:E48"/>
    <mergeCell ref="F47:F48"/>
    <mergeCell ref="H47:H48"/>
    <mergeCell ref="I47:I48"/>
    <mergeCell ref="J47:N47"/>
    <mergeCell ref="O47:O48"/>
    <mergeCell ref="G64:I64"/>
    <mergeCell ref="J48:K48"/>
    <mergeCell ref="L48:M48"/>
    <mergeCell ref="H72:I72"/>
    <mergeCell ref="B58:I58"/>
    <mergeCell ref="B59:O59"/>
    <mergeCell ref="B62:I62"/>
    <mergeCell ref="H66:I68"/>
    <mergeCell ref="J66:K66"/>
    <mergeCell ref="L66:M66"/>
    <mergeCell ref="O66:O68"/>
    <mergeCell ref="H70:I70"/>
    <mergeCell ref="L70:M70"/>
    <mergeCell ref="O70:O71"/>
    <mergeCell ref="H71:I71"/>
    <mergeCell ref="L71:M71"/>
  </mergeCells>
  <pageMargins left="0" right="0" top="0" bottom="0" header="0" footer="0"/>
  <pageSetup paperSize="9" scale="70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9CAF-C956-443C-8809-0A03F6763E76}">
  <dimension ref="A2:Q83"/>
  <sheetViews>
    <sheetView topLeftCell="A43" workbookViewId="0">
      <selection activeCell="G63" sqref="G63:I63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952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953</v>
      </c>
      <c r="E9" s="14" t="s">
        <v>954</v>
      </c>
      <c r="F9" s="15" t="s">
        <v>955</v>
      </c>
      <c r="G9" s="16">
        <v>46144</v>
      </c>
      <c r="H9" s="16">
        <v>46157</v>
      </c>
      <c r="I9" s="17">
        <v>230200</v>
      </c>
      <c r="J9" s="18">
        <f>I9</f>
        <v>230200</v>
      </c>
      <c r="K9" s="19"/>
      <c r="L9" s="20"/>
      <c r="M9" s="20"/>
      <c r="N9" s="21" t="s">
        <v>155</v>
      </c>
      <c r="O9" s="22"/>
    </row>
    <row r="10" spans="2:17" x14ac:dyDescent="0.25">
      <c r="B10" s="11">
        <v>2</v>
      </c>
      <c r="C10" s="12"/>
      <c r="D10" s="13" t="s">
        <v>956</v>
      </c>
      <c r="E10" s="14" t="s">
        <v>957</v>
      </c>
      <c r="F10" s="15" t="s">
        <v>800</v>
      </c>
      <c r="G10" s="16">
        <v>46172</v>
      </c>
      <c r="H10" s="16">
        <v>46185</v>
      </c>
      <c r="I10" s="23">
        <v>340800</v>
      </c>
      <c r="J10" s="18">
        <f t="shared" ref="J10:J11" si="0">I10</f>
        <v>340800</v>
      </c>
      <c r="K10" s="19"/>
      <c r="L10" s="24"/>
      <c r="M10" s="24"/>
      <c r="N10" s="21" t="s">
        <v>155</v>
      </c>
      <c r="O10" s="22"/>
    </row>
    <row r="11" spans="2:17" x14ac:dyDescent="0.25">
      <c r="B11" s="11">
        <v>3</v>
      </c>
      <c r="C11" s="12"/>
      <c r="D11" s="13" t="s">
        <v>958</v>
      </c>
      <c r="E11" s="14" t="s">
        <v>959</v>
      </c>
      <c r="F11" s="15" t="s">
        <v>960</v>
      </c>
      <c r="G11" s="16">
        <v>46172</v>
      </c>
      <c r="H11" s="16">
        <v>46185</v>
      </c>
      <c r="I11" s="23">
        <v>872500</v>
      </c>
      <c r="J11" s="18">
        <f t="shared" si="0"/>
        <v>872500</v>
      </c>
      <c r="K11" s="19"/>
      <c r="L11" s="24"/>
      <c r="M11" s="24"/>
      <c r="N11" s="21" t="s">
        <v>155</v>
      </c>
      <c r="O11" s="22"/>
    </row>
    <row r="12" spans="2:17" x14ac:dyDescent="0.25">
      <c r="B12" s="11">
        <v>4</v>
      </c>
      <c r="C12" s="12"/>
      <c r="D12" s="13" t="s">
        <v>961</v>
      </c>
      <c r="E12" s="14" t="s">
        <v>943</v>
      </c>
      <c r="F12" s="15" t="s">
        <v>944</v>
      </c>
      <c r="G12" s="16">
        <v>46129</v>
      </c>
      <c r="H12" s="16">
        <v>46142</v>
      </c>
      <c r="I12" s="23">
        <v>811200</v>
      </c>
      <c r="J12" s="18"/>
      <c r="K12" s="19"/>
      <c r="L12" s="24">
        <f>I12</f>
        <v>811200</v>
      </c>
      <c r="M12" s="24"/>
      <c r="N12" s="21" t="s">
        <v>155</v>
      </c>
      <c r="O12" s="22"/>
    </row>
    <row r="13" spans="2:17" x14ac:dyDescent="0.25">
      <c r="B13" s="11">
        <v>5</v>
      </c>
      <c r="C13" s="12"/>
      <c r="D13" s="13" t="s">
        <v>962</v>
      </c>
      <c r="E13" s="14" t="s">
        <v>959</v>
      </c>
      <c r="F13" s="15" t="s">
        <v>960</v>
      </c>
      <c r="G13" s="16">
        <v>46172</v>
      </c>
      <c r="H13" s="16">
        <v>46185</v>
      </c>
      <c r="I13" s="23">
        <v>69498</v>
      </c>
      <c r="J13" s="18"/>
      <c r="K13" s="19"/>
      <c r="L13" s="24">
        <f t="shared" ref="L13:L15" si="1">I13</f>
        <v>69498</v>
      </c>
      <c r="M13" s="24"/>
      <c r="N13" s="21" t="s">
        <v>155</v>
      </c>
      <c r="O13" s="22"/>
    </row>
    <row r="14" spans="2:17" x14ac:dyDescent="0.25">
      <c r="B14" s="11">
        <v>6</v>
      </c>
      <c r="C14" s="12"/>
      <c r="D14" s="13" t="s">
        <v>963</v>
      </c>
      <c r="E14" s="14" t="s">
        <v>957</v>
      </c>
      <c r="F14" s="15" t="s">
        <v>800</v>
      </c>
      <c r="G14" s="16">
        <v>46172</v>
      </c>
      <c r="H14" s="16">
        <v>46185</v>
      </c>
      <c r="I14" s="23">
        <v>130500</v>
      </c>
      <c r="J14" s="18"/>
      <c r="K14" s="19"/>
      <c r="L14" s="24">
        <f t="shared" si="1"/>
        <v>130500</v>
      </c>
      <c r="M14" s="24"/>
      <c r="N14" s="21" t="s">
        <v>155</v>
      </c>
      <c r="O14" s="22"/>
    </row>
    <row r="15" spans="2:17" x14ac:dyDescent="0.25">
      <c r="B15" s="11">
        <v>7</v>
      </c>
      <c r="C15" s="12"/>
      <c r="D15" s="13" t="s">
        <v>964</v>
      </c>
      <c r="E15" s="14" t="s">
        <v>965</v>
      </c>
      <c r="F15" s="15" t="s">
        <v>259</v>
      </c>
      <c r="G15" s="16">
        <v>46172</v>
      </c>
      <c r="H15" s="16">
        <v>46185</v>
      </c>
      <c r="I15" s="23">
        <v>591000</v>
      </c>
      <c r="J15" s="18"/>
      <c r="K15" s="19"/>
      <c r="L15" s="24">
        <f t="shared" si="1"/>
        <v>591000</v>
      </c>
      <c r="M15" s="24"/>
      <c r="N15" s="21" t="s">
        <v>155</v>
      </c>
      <c r="O15" s="22"/>
    </row>
    <row r="16" spans="2:17" ht="15.75" x14ac:dyDescent="0.25">
      <c r="B16" s="169" t="s">
        <v>13</v>
      </c>
      <c r="C16" s="170"/>
      <c r="D16" s="170"/>
      <c r="E16" s="170"/>
      <c r="F16" s="170"/>
      <c r="G16" s="170"/>
      <c r="H16" s="170"/>
      <c r="I16" s="171"/>
      <c r="J16" s="25">
        <f>SUM(J9:J15)</f>
        <v>1443500</v>
      </c>
      <c r="K16" s="26">
        <f>SUM(K9:K15)</f>
        <v>0</v>
      </c>
      <c r="L16" s="27">
        <f>SUM(L9:L15)</f>
        <v>1602198</v>
      </c>
      <c r="M16" s="28">
        <f>SUM(M9:M15)</f>
        <v>0</v>
      </c>
      <c r="N16" s="29"/>
      <c r="O16" s="30">
        <f>SUM(J16+K16+L16+M16)</f>
        <v>3045698</v>
      </c>
    </row>
    <row r="17" spans="2:15" ht="15.75" x14ac:dyDescent="0.25"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</row>
    <row r="18" spans="2:15" x14ac:dyDescent="0.25">
      <c r="B18" s="11">
        <v>1</v>
      </c>
      <c r="C18" s="31" t="s">
        <v>20</v>
      </c>
      <c r="D18" s="13" t="s">
        <v>966</v>
      </c>
      <c r="E18" s="32" t="s">
        <v>967</v>
      </c>
      <c r="F18" s="33" t="s">
        <v>968</v>
      </c>
      <c r="G18" s="34">
        <v>46157</v>
      </c>
      <c r="H18" s="35">
        <v>46170</v>
      </c>
      <c r="I18" s="36">
        <v>645300</v>
      </c>
      <c r="J18" s="37">
        <f>I18</f>
        <v>645300</v>
      </c>
      <c r="K18" s="19"/>
      <c r="L18" s="24"/>
      <c r="M18" s="24"/>
      <c r="N18" s="21" t="s">
        <v>155</v>
      </c>
      <c r="O18" s="22"/>
    </row>
    <row r="19" spans="2:15" x14ac:dyDescent="0.25">
      <c r="B19" s="11">
        <v>2</v>
      </c>
      <c r="C19" s="31"/>
      <c r="D19" s="13" t="s">
        <v>914</v>
      </c>
      <c r="E19" s="32" t="s">
        <v>915</v>
      </c>
      <c r="F19" s="33" t="s">
        <v>916</v>
      </c>
      <c r="G19" s="34">
        <v>46157</v>
      </c>
      <c r="H19" s="35">
        <v>46170</v>
      </c>
      <c r="I19" s="36">
        <v>300000</v>
      </c>
      <c r="J19" s="37">
        <f t="shared" ref="J19:J24" si="2">I19</f>
        <v>300000</v>
      </c>
      <c r="K19" s="19"/>
      <c r="L19" s="24"/>
      <c r="M19" s="24"/>
      <c r="N19" s="21" t="s">
        <v>155</v>
      </c>
      <c r="O19" s="22"/>
    </row>
    <row r="20" spans="2:15" x14ac:dyDescent="0.25">
      <c r="B20" s="11">
        <v>3</v>
      </c>
      <c r="C20" s="31"/>
      <c r="D20" s="13" t="s">
        <v>917</v>
      </c>
      <c r="E20" s="32" t="s">
        <v>918</v>
      </c>
      <c r="F20" s="33" t="s">
        <v>919</v>
      </c>
      <c r="G20" s="34">
        <v>46157</v>
      </c>
      <c r="H20" s="35">
        <v>46170</v>
      </c>
      <c r="I20" s="36">
        <v>200000</v>
      </c>
      <c r="J20" s="37">
        <f t="shared" si="2"/>
        <v>200000</v>
      </c>
      <c r="K20" s="19"/>
      <c r="L20" s="24"/>
      <c r="M20" s="24"/>
      <c r="N20" s="21" t="s">
        <v>155</v>
      </c>
      <c r="O20" s="22"/>
    </row>
    <row r="21" spans="2:15" x14ac:dyDescent="0.25">
      <c r="B21" s="11">
        <v>4</v>
      </c>
      <c r="C21" s="31"/>
      <c r="D21" s="13" t="s">
        <v>969</v>
      </c>
      <c r="E21" s="32" t="s">
        <v>970</v>
      </c>
      <c r="F21" s="33" t="s">
        <v>971</v>
      </c>
      <c r="G21" s="34">
        <v>46158</v>
      </c>
      <c r="H21" s="35">
        <v>46171</v>
      </c>
      <c r="I21" s="36">
        <v>215100</v>
      </c>
      <c r="J21" s="37">
        <f t="shared" si="2"/>
        <v>215100</v>
      </c>
      <c r="K21" s="19"/>
      <c r="L21" s="24"/>
      <c r="M21" s="24"/>
      <c r="N21" s="21" t="s">
        <v>155</v>
      </c>
      <c r="O21" s="22"/>
    </row>
    <row r="22" spans="2:15" x14ac:dyDescent="0.25">
      <c r="B22" s="11">
        <v>5</v>
      </c>
      <c r="C22" s="31"/>
      <c r="D22" s="13" t="s">
        <v>973</v>
      </c>
      <c r="E22" s="32" t="s">
        <v>974</v>
      </c>
      <c r="F22" s="33" t="s">
        <v>968</v>
      </c>
      <c r="G22" s="34">
        <v>46171</v>
      </c>
      <c r="H22" s="35">
        <v>46184</v>
      </c>
      <c r="I22" s="36">
        <v>430200</v>
      </c>
      <c r="J22" s="37">
        <f t="shared" si="2"/>
        <v>430200</v>
      </c>
      <c r="K22" s="19"/>
      <c r="L22" s="24"/>
      <c r="M22" s="24"/>
      <c r="N22" s="21" t="s">
        <v>155</v>
      </c>
      <c r="O22" s="22"/>
    </row>
    <row r="23" spans="2:15" x14ac:dyDescent="0.25">
      <c r="B23" s="11">
        <v>6</v>
      </c>
      <c r="C23" s="31"/>
      <c r="D23" s="13" t="s">
        <v>975</v>
      </c>
      <c r="E23" s="32" t="s">
        <v>976</v>
      </c>
      <c r="F23" s="33" t="s">
        <v>971</v>
      </c>
      <c r="G23" s="34">
        <v>46172</v>
      </c>
      <c r="H23" s="35">
        <v>46185</v>
      </c>
      <c r="I23" s="36">
        <v>543800</v>
      </c>
      <c r="J23" s="37">
        <f t="shared" si="2"/>
        <v>543800</v>
      </c>
      <c r="K23" s="19"/>
      <c r="L23" s="24"/>
      <c r="M23" s="24"/>
      <c r="N23" s="21" t="s">
        <v>155</v>
      </c>
      <c r="O23" s="22"/>
    </row>
    <row r="24" spans="2:15" x14ac:dyDescent="0.25">
      <c r="B24" s="11">
        <v>7</v>
      </c>
      <c r="C24" s="31"/>
      <c r="D24" s="13" t="s">
        <v>977</v>
      </c>
      <c r="E24" s="32" t="s">
        <v>978</v>
      </c>
      <c r="F24" s="33" t="s">
        <v>168</v>
      </c>
      <c r="G24" s="34">
        <v>46172</v>
      </c>
      <c r="H24" s="35">
        <v>46185</v>
      </c>
      <c r="I24" s="36">
        <v>215100</v>
      </c>
      <c r="J24" s="37">
        <f t="shared" si="2"/>
        <v>215100</v>
      </c>
      <c r="K24" s="19"/>
      <c r="L24" s="24"/>
      <c r="M24" s="24"/>
      <c r="N24" s="21" t="s">
        <v>155</v>
      </c>
      <c r="O24" s="22"/>
    </row>
    <row r="25" spans="2:15" x14ac:dyDescent="0.25">
      <c r="B25" s="11">
        <v>8</v>
      </c>
      <c r="C25" s="31"/>
      <c r="D25" s="13" t="s">
        <v>979</v>
      </c>
      <c r="E25" s="32" t="s">
        <v>967</v>
      </c>
      <c r="F25" s="33" t="s">
        <v>968</v>
      </c>
      <c r="G25" s="34">
        <v>46157</v>
      </c>
      <c r="H25" s="35">
        <v>46170</v>
      </c>
      <c r="I25" s="36">
        <v>78000</v>
      </c>
      <c r="J25" s="37"/>
      <c r="K25" s="19"/>
      <c r="L25" s="24">
        <f>I25</f>
        <v>78000</v>
      </c>
      <c r="M25" s="24"/>
      <c r="N25" s="21" t="s">
        <v>155</v>
      </c>
      <c r="O25" s="22"/>
    </row>
    <row r="26" spans="2:15" x14ac:dyDescent="0.25">
      <c r="B26" s="11">
        <v>9</v>
      </c>
      <c r="C26" s="31"/>
      <c r="D26" s="13" t="s">
        <v>980</v>
      </c>
      <c r="E26" s="32" t="s">
        <v>970</v>
      </c>
      <c r="F26" s="33" t="s">
        <v>971</v>
      </c>
      <c r="G26" s="34">
        <v>46158</v>
      </c>
      <c r="H26" s="35">
        <v>46171</v>
      </c>
      <c r="I26" s="36">
        <v>160000</v>
      </c>
      <c r="J26" s="37"/>
      <c r="K26" s="19"/>
      <c r="L26" s="24">
        <f t="shared" ref="L26:L30" si="3">I26</f>
        <v>160000</v>
      </c>
      <c r="M26" s="24"/>
      <c r="N26" s="21" t="s">
        <v>155</v>
      </c>
      <c r="O26" s="22"/>
    </row>
    <row r="27" spans="2:15" x14ac:dyDescent="0.25">
      <c r="B27" s="11">
        <v>10</v>
      </c>
      <c r="C27" s="31"/>
      <c r="D27" s="13" t="s">
        <v>981</v>
      </c>
      <c r="E27" s="32" t="s">
        <v>982</v>
      </c>
      <c r="F27" s="33" t="s">
        <v>971</v>
      </c>
      <c r="G27" s="34">
        <v>46172</v>
      </c>
      <c r="H27" s="35">
        <v>46185</v>
      </c>
      <c r="I27" s="36">
        <v>652500</v>
      </c>
      <c r="J27" s="37"/>
      <c r="K27" s="19"/>
      <c r="L27" s="24">
        <f t="shared" si="3"/>
        <v>652500</v>
      </c>
      <c r="M27" s="24"/>
      <c r="N27" s="21" t="s">
        <v>155</v>
      </c>
      <c r="O27" s="22"/>
    </row>
    <row r="28" spans="2:15" x14ac:dyDescent="0.25">
      <c r="B28" s="11">
        <v>11</v>
      </c>
      <c r="C28" s="31"/>
      <c r="D28" s="13" t="s">
        <v>983</v>
      </c>
      <c r="E28" s="32" t="s">
        <v>984</v>
      </c>
      <c r="F28" s="33" t="s">
        <v>972</v>
      </c>
      <c r="G28" s="34">
        <v>46172</v>
      </c>
      <c r="H28" s="35">
        <v>46185</v>
      </c>
      <c r="I28" s="36">
        <v>304500</v>
      </c>
      <c r="J28" s="37"/>
      <c r="K28" s="19"/>
      <c r="L28" s="24">
        <f t="shared" si="3"/>
        <v>304500</v>
      </c>
      <c r="M28" s="24"/>
      <c r="N28" s="21" t="s">
        <v>155</v>
      </c>
      <c r="O28" s="22"/>
    </row>
    <row r="29" spans="2:15" x14ac:dyDescent="0.25">
      <c r="B29" s="11">
        <v>12</v>
      </c>
      <c r="C29" s="31"/>
      <c r="D29" s="13" t="s">
        <v>985</v>
      </c>
      <c r="E29" s="32" t="s">
        <v>287</v>
      </c>
      <c r="F29" s="33" t="s">
        <v>268</v>
      </c>
      <c r="G29" s="34">
        <v>46172</v>
      </c>
      <c r="H29" s="35">
        <v>46185</v>
      </c>
      <c r="I29" s="36">
        <v>304500</v>
      </c>
      <c r="J29" s="37"/>
      <c r="K29" s="19"/>
      <c r="L29" s="24">
        <f t="shared" si="3"/>
        <v>304500</v>
      </c>
      <c r="M29" s="24"/>
      <c r="N29" s="21" t="s">
        <v>155</v>
      </c>
      <c r="O29" s="22"/>
    </row>
    <row r="30" spans="2:15" x14ac:dyDescent="0.25">
      <c r="B30" s="11">
        <v>13</v>
      </c>
      <c r="C30" s="31"/>
      <c r="D30" s="13" t="s">
        <v>986</v>
      </c>
      <c r="E30" s="32" t="s">
        <v>987</v>
      </c>
      <c r="F30" s="33" t="s">
        <v>240</v>
      </c>
      <c r="G30" s="34">
        <v>46172</v>
      </c>
      <c r="H30" s="35">
        <v>46185</v>
      </c>
      <c r="I30" s="36">
        <v>47056</v>
      </c>
      <c r="J30" s="37"/>
      <c r="K30" s="19"/>
      <c r="L30" s="24">
        <f t="shared" si="3"/>
        <v>47056</v>
      </c>
      <c r="M30" s="24"/>
      <c r="N30" s="21" t="s">
        <v>155</v>
      </c>
      <c r="O30" s="22"/>
    </row>
    <row r="31" spans="2:15" ht="15.75" x14ac:dyDescent="0.25">
      <c r="B31" s="192" t="s">
        <v>13</v>
      </c>
      <c r="C31" s="193"/>
      <c r="D31" s="193"/>
      <c r="E31" s="193"/>
      <c r="F31" s="193"/>
      <c r="G31" s="193"/>
      <c r="H31" s="193"/>
      <c r="I31" s="194"/>
      <c r="J31" s="38">
        <f>SUM(J18:J30)</f>
        <v>2549500</v>
      </c>
      <c r="K31" s="26">
        <f>SUM(K18:K30)</f>
        <v>0</v>
      </c>
      <c r="L31" s="27">
        <f>SUM(L18:L30)</f>
        <v>1546556</v>
      </c>
      <c r="M31" s="27">
        <f>SUM(M18:M30)</f>
        <v>0</v>
      </c>
      <c r="N31" s="39"/>
      <c r="O31" s="40">
        <f>SUM(J31+K31+L31+M31)</f>
        <v>4096056</v>
      </c>
    </row>
    <row r="32" spans="2:15" ht="15.75" x14ac:dyDescent="0.25">
      <c r="B32" s="195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N32" s="196"/>
      <c r="O32" s="196"/>
    </row>
    <row r="33" spans="2:15" ht="15.75" x14ac:dyDescent="0.25">
      <c r="B33" s="42">
        <v>1</v>
      </c>
      <c r="C33" s="43" t="s">
        <v>21</v>
      </c>
      <c r="D33" s="44" t="s">
        <v>988</v>
      </c>
      <c r="E33" s="45" t="s">
        <v>989</v>
      </c>
      <c r="F33" s="45" t="s">
        <v>352</v>
      </c>
      <c r="G33" s="46">
        <v>46172</v>
      </c>
      <c r="H33" s="46">
        <v>46185</v>
      </c>
      <c r="I33" s="47">
        <v>215100</v>
      </c>
      <c r="J33" s="48">
        <f>I33</f>
        <v>215100</v>
      </c>
      <c r="K33" s="49"/>
      <c r="L33" s="50"/>
      <c r="M33" s="50"/>
      <c r="N33" s="22" t="s">
        <v>155</v>
      </c>
      <c r="O33" s="42"/>
    </row>
    <row r="34" spans="2:15" ht="15.75" x14ac:dyDescent="0.25">
      <c r="B34" s="42">
        <v>2</v>
      </c>
      <c r="C34" s="43"/>
      <c r="D34" s="44" t="s">
        <v>990</v>
      </c>
      <c r="E34" s="45" t="s">
        <v>991</v>
      </c>
      <c r="F34" s="45" t="s">
        <v>352</v>
      </c>
      <c r="G34" s="46">
        <v>46172</v>
      </c>
      <c r="H34" s="46">
        <v>46185</v>
      </c>
      <c r="I34" s="47">
        <v>328700</v>
      </c>
      <c r="J34" s="48">
        <f t="shared" ref="J34:J38" si="4">I34</f>
        <v>328700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3</v>
      </c>
      <c r="C35" s="43"/>
      <c r="D35" s="44" t="s">
        <v>992</v>
      </c>
      <c r="E35" s="45" t="s">
        <v>400</v>
      </c>
      <c r="F35" s="45" t="s">
        <v>993</v>
      </c>
      <c r="G35" s="46">
        <v>46172</v>
      </c>
      <c r="H35" s="46">
        <v>46185</v>
      </c>
      <c r="I35" s="47">
        <v>215100</v>
      </c>
      <c r="J35" s="48">
        <f t="shared" si="4"/>
        <v>215100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4</v>
      </c>
      <c r="C36" s="43"/>
      <c r="D36" s="44" t="s">
        <v>994</v>
      </c>
      <c r="E36" s="45" t="s">
        <v>995</v>
      </c>
      <c r="F36" s="45" t="s">
        <v>996</v>
      </c>
      <c r="G36" s="46">
        <v>46172</v>
      </c>
      <c r="H36" s="46">
        <v>46185</v>
      </c>
      <c r="I36" s="47">
        <v>328700</v>
      </c>
      <c r="J36" s="48">
        <f t="shared" si="4"/>
        <v>328700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5</v>
      </c>
      <c r="C37" s="43"/>
      <c r="D37" s="44" t="s">
        <v>997</v>
      </c>
      <c r="E37" s="45" t="s">
        <v>998</v>
      </c>
      <c r="F37" s="45" t="s">
        <v>996</v>
      </c>
      <c r="G37" s="46">
        <v>46172</v>
      </c>
      <c r="H37" s="46">
        <v>46185</v>
      </c>
      <c r="I37" s="47">
        <v>430200</v>
      </c>
      <c r="J37" s="48">
        <f t="shared" si="4"/>
        <v>430200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6</v>
      </c>
      <c r="C38" s="43"/>
      <c r="D38" s="44" t="s">
        <v>999</v>
      </c>
      <c r="E38" s="45" t="s">
        <v>1000</v>
      </c>
      <c r="F38" s="45" t="s">
        <v>996</v>
      </c>
      <c r="G38" s="46">
        <v>46172</v>
      </c>
      <c r="H38" s="46">
        <v>46185</v>
      </c>
      <c r="I38" s="47">
        <v>215100</v>
      </c>
      <c r="J38" s="48">
        <f t="shared" si="4"/>
        <v>215100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7</v>
      </c>
      <c r="C39" s="43"/>
      <c r="D39" s="44" t="s">
        <v>1001</v>
      </c>
      <c r="E39" s="45" t="s">
        <v>400</v>
      </c>
      <c r="F39" s="45" t="s">
        <v>993</v>
      </c>
      <c r="G39" s="46">
        <v>46172</v>
      </c>
      <c r="H39" s="46">
        <v>46185</v>
      </c>
      <c r="I39" s="47">
        <v>47056</v>
      </c>
      <c r="J39" s="48"/>
      <c r="K39" s="49"/>
      <c r="L39" s="51">
        <f>I39</f>
        <v>47056</v>
      </c>
      <c r="M39" s="51"/>
      <c r="N39" s="22" t="s">
        <v>155</v>
      </c>
      <c r="O39" s="42"/>
    </row>
    <row r="40" spans="2:15" ht="15.75" x14ac:dyDescent="0.25">
      <c r="B40" s="42">
        <v>8</v>
      </c>
      <c r="C40" s="43"/>
      <c r="D40" s="44" t="s">
        <v>1002</v>
      </c>
      <c r="E40" s="45" t="s">
        <v>989</v>
      </c>
      <c r="F40" s="45" t="s">
        <v>352</v>
      </c>
      <c r="G40" s="46">
        <v>46172</v>
      </c>
      <c r="H40" s="46">
        <v>46185</v>
      </c>
      <c r="I40" s="47">
        <v>68556</v>
      </c>
      <c r="J40" s="48"/>
      <c r="K40" s="49"/>
      <c r="L40" s="51">
        <f t="shared" ref="L40:L43" si="5">I40</f>
        <v>68556</v>
      </c>
      <c r="M40" s="51"/>
      <c r="N40" s="22" t="s">
        <v>155</v>
      </c>
      <c r="O40" s="42"/>
    </row>
    <row r="41" spans="2:15" ht="15.75" x14ac:dyDescent="0.25">
      <c r="B41" s="42">
        <v>9</v>
      </c>
      <c r="C41" s="42"/>
      <c r="D41" s="44" t="s">
        <v>1003</v>
      </c>
      <c r="E41" s="45" t="s">
        <v>995</v>
      </c>
      <c r="F41" s="45" t="s">
        <v>996</v>
      </c>
      <c r="G41" s="46">
        <v>46172</v>
      </c>
      <c r="H41" s="46">
        <v>46185</v>
      </c>
      <c r="I41" s="47">
        <v>117140</v>
      </c>
      <c r="J41" s="48"/>
      <c r="K41" s="49"/>
      <c r="L41" s="51">
        <f t="shared" si="5"/>
        <v>117140</v>
      </c>
      <c r="M41" s="51"/>
      <c r="N41" s="22" t="s">
        <v>155</v>
      </c>
      <c r="O41" s="42"/>
    </row>
    <row r="42" spans="2:15" ht="15.75" x14ac:dyDescent="0.25">
      <c r="B42" s="42">
        <v>10</v>
      </c>
      <c r="C42" s="42"/>
      <c r="D42" s="44" t="s">
        <v>1004</v>
      </c>
      <c r="E42" s="45" t="s">
        <v>1005</v>
      </c>
      <c r="F42" s="45" t="s">
        <v>996</v>
      </c>
      <c r="G42" s="46">
        <v>46172</v>
      </c>
      <c r="H42" s="46">
        <v>46185</v>
      </c>
      <c r="I42" s="47">
        <v>293836</v>
      </c>
      <c r="J42" s="48"/>
      <c r="K42" s="49"/>
      <c r="L42" s="51">
        <f t="shared" si="5"/>
        <v>293836</v>
      </c>
      <c r="M42" s="51"/>
      <c r="N42" s="22" t="s">
        <v>155</v>
      </c>
      <c r="O42" s="42"/>
    </row>
    <row r="43" spans="2:15" ht="15.75" x14ac:dyDescent="0.25">
      <c r="B43" s="42">
        <v>11</v>
      </c>
      <c r="C43" s="42"/>
      <c r="D43" s="44" t="s">
        <v>1006</v>
      </c>
      <c r="E43" s="45" t="s">
        <v>1007</v>
      </c>
      <c r="F43" s="45" t="s">
        <v>1008</v>
      </c>
      <c r="G43" s="46">
        <v>46172</v>
      </c>
      <c r="H43" s="46">
        <v>46185</v>
      </c>
      <c r="I43" s="47">
        <v>130500</v>
      </c>
      <c r="J43" s="48"/>
      <c r="K43" s="49"/>
      <c r="L43" s="51">
        <f t="shared" si="5"/>
        <v>130500</v>
      </c>
      <c r="M43" s="51"/>
      <c r="N43" s="22" t="s">
        <v>155</v>
      </c>
      <c r="O43" s="42"/>
    </row>
    <row r="44" spans="2:15" ht="15.75" x14ac:dyDescent="0.25">
      <c r="B44" s="197" t="s">
        <v>13</v>
      </c>
      <c r="C44" s="198"/>
      <c r="D44" s="198"/>
      <c r="E44" s="198"/>
      <c r="F44" s="198"/>
      <c r="G44" s="198"/>
      <c r="H44" s="198"/>
      <c r="I44" s="199"/>
      <c r="J44" s="52">
        <f>SUM(J33:J43)</f>
        <v>1732900</v>
      </c>
      <c r="K44" s="53">
        <f>SUM(K33:K43)</f>
        <v>0</v>
      </c>
      <c r="L44" s="54">
        <f>SUM(L33:L43)</f>
        <v>657088</v>
      </c>
      <c r="M44" s="54">
        <f>SUM(M33:M43)</f>
        <v>0</v>
      </c>
      <c r="N44" s="55"/>
      <c r="O44" s="56">
        <f>SUM(J44+K44+L44+M44)</f>
        <v>2389988</v>
      </c>
    </row>
    <row r="45" spans="2:15" x14ac:dyDescent="0.25">
      <c r="D45" s="57"/>
      <c r="I45" s="58"/>
      <c r="J45" s="58"/>
    </row>
    <row r="46" spans="2:15" x14ac:dyDescent="0.25">
      <c r="D46" s="57"/>
      <c r="I46" s="58"/>
      <c r="J46" s="58"/>
    </row>
    <row r="47" spans="2:15" ht="15.75" x14ac:dyDescent="0.25">
      <c r="D47" s="57"/>
      <c r="G47" s="200" t="s">
        <v>22</v>
      </c>
      <c r="H47" s="200"/>
      <c r="I47" s="200"/>
      <c r="J47" s="59">
        <f>SUM(J44+J31+J16)</f>
        <v>5725900</v>
      </c>
      <c r="K47" s="26">
        <f>SUM(K44+K31+K16)</f>
        <v>0</v>
      </c>
      <c r="L47" s="60">
        <f>SUM(L44+L31+L16)</f>
        <v>3805842</v>
      </c>
      <c r="M47" s="60">
        <f>SUM(M44+M31+M16)</f>
        <v>0</v>
      </c>
      <c r="N47" s="39"/>
      <c r="O47" s="30">
        <f>SUM(J47+K47+L47+M47)</f>
        <v>9531742</v>
      </c>
    </row>
    <row r="48" spans="2:15" x14ac:dyDescent="0.25">
      <c r="D48" s="57"/>
      <c r="I48" s="58"/>
      <c r="J48" s="58"/>
    </row>
    <row r="49" spans="1:15" x14ac:dyDescent="0.25">
      <c r="B49" s="201" t="s">
        <v>17</v>
      </c>
      <c r="C49" s="201"/>
      <c r="D49" s="201"/>
      <c r="I49" s="58"/>
      <c r="J49" s="58"/>
    </row>
    <row r="50" spans="1:15" ht="15.75" x14ac:dyDescent="0.25">
      <c r="B50" s="188" t="s">
        <v>4</v>
      </c>
      <c r="C50" s="202" t="s">
        <v>23</v>
      </c>
      <c r="D50" s="188" t="s">
        <v>6</v>
      </c>
      <c r="E50" s="188" t="s">
        <v>7</v>
      </c>
      <c r="F50" s="188" t="s">
        <v>8</v>
      </c>
      <c r="G50" s="188" t="s">
        <v>9</v>
      </c>
      <c r="H50" s="188" t="s">
        <v>10</v>
      </c>
      <c r="I50" s="202" t="s">
        <v>24</v>
      </c>
      <c r="J50" s="169" t="s">
        <v>12</v>
      </c>
      <c r="K50" s="170"/>
      <c r="L50" s="170"/>
      <c r="M50" s="170"/>
      <c r="N50" s="171"/>
      <c r="O50" s="204" t="s">
        <v>13</v>
      </c>
    </row>
    <row r="51" spans="1:15" ht="15.75" x14ac:dyDescent="0.25">
      <c r="B51" s="189"/>
      <c r="C51" s="203"/>
      <c r="D51" s="189"/>
      <c r="E51" s="189"/>
      <c r="F51" s="189"/>
      <c r="G51" s="189"/>
      <c r="H51" s="189"/>
      <c r="I51" s="203"/>
      <c r="J51" s="164" t="s">
        <v>14</v>
      </c>
      <c r="K51" s="165"/>
      <c r="L51" s="166" t="s">
        <v>15</v>
      </c>
      <c r="M51" s="167"/>
      <c r="N51" s="4" t="s">
        <v>16</v>
      </c>
      <c r="O51" s="205"/>
    </row>
    <row r="52" spans="1:15" ht="15.75" x14ac:dyDescent="0.25">
      <c r="B52" s="5"/>
      <c r="C52" s="61"/>
      <c r="D52" s="5"/>
      <c r="E52" s="5"/>
      <c r="F52" s="5"/>
      <c r="G52" s="5"/>
      <c r="H52" s="5"/>
      <c r="I52" s="61"/>
      <c r="J52" s="62" t="s">
        <v>17</v>
      </c>
      <c r="K52" s="6" t="s">
        <v>18</v>
      </c>
      <c r="L52" s="10" t="s">
        <v>17</v>
      </c>
      <c r="M52" s="10" t="s">
        <v>18</v>
      </c>
      <c r="N52" s="4"/>
      <c r="O52" s="7"/>
    </row>
    <row r="53" spans="1:15" ht="15" customHeight="1" x14ac:dyDescent="0.25">
      <c r="B53" s="63">
        <v>1</v>
      </c>
      <c r="C53" s="43" t="s">
        <v>154</v>
      </c>
      <c r="D53" s="64" t="s">
        <v>1009</v>
      </c>
      <c r="E53" s="65" t="s">
        <v>131</v>
      </c>
      <c r="F53" s="65" t="s">
        <v>900</v>
      </c>
      <c r="G53" s="66">
        <v>46185</v>
      </c>
      <c r="H53" s="66"/>
      <c r="I53" s="67">
        <v>555500</v>
      </c>
      <c r="J53" s="37">
        <f>I53</f>
        <v>555500</v>
      </c>
      <c r="K53" s="68"/>
      <c r="L53" s="69"/>
      <c r="M53" s="69"/>
      <c r="N53" s="22" t="s">
        <v>155</v>
      </c>
      <c r="O53" s="70"/>
    </row>
    <row r="54" spans="1:15" ht="15" customHeight="1" x14ac:dyDescent="0.25">
      <c r="B54" s="63">
        <v>2</v>
      </c>
      <c r="C54" s="43" t="s">
        <v>154</v>
      </c>
      <c r="D54" s="71" t="s">
        <v>1010</v>
      </c>
      <c r="E54" s="71" t="s">
        <v>1011</v>
      </c>
      <c r="F54" s="70" t="s">
        <v>900</v>
      </c>
      <c r="G54" s="66">
        <v>46185</v>
      </c>
      <c r="H54" s="72"/>
      <c r="I54" s="22">
        <v>555500</v>
      </c>
      <c r="J54" s="37">
        <f t="shared" ref="J54:J55" si="6">I54</f>
        <v>555500</v>
      </c>
      <c r="K54" s="68"/>
      <c r="L54" s="24"/>
      <c r="M54" s="69"/>
      <c r="N54" s="22" t="s">
        <v>155</v>
      </c>
      <c r="O54" s="70"/>
    </row>
    <row r="55" spans="1:15" ht="15" customHeight="1" x14ac:dyDescent="0.25">
      <c r="B55" s="63">
        <v>3</v>
      </c>
      <c r="C55" s="43" t="s">
        <v>154</v>
      </c>
      <c r="D55" s="71" t="s">
        <v>1012</v>
      </c>
      <c r="E55" s="71" t="s">
        <v>1013</v>
      </c>
      <c r="F55" s="70" t="s">
        <v>1014</v>
      </c>
      <c r="G55" s="66">
        <v>46185</v>
      </c>
      <c r="H55" s="72"/>
      <c r="I55" s="22">
        <v>860000</v>
      </c>
      <c r="J55" s="37">
        <f t="shared" si="6"/>
        <v>860000</v>
      </c>
      <c r="K55" s="68"/>
      <c r="L55" s="24"/>
      <c r="M55" s="69"/>
      <c r="N55" s="22" t="s">
        <v>155</v>
      </c>
      <c r="O55" s="70"/>
    </row>
    <row r="56" spans="1:15" ht="15.75" x14ac:dyDescent="0.25">
      <c r="B56" s="169" t="s">
        <v>25</v>
      </c>
      <c r="C56" s="170"/>
      <c r="D56" s="170"/>
      <c r="E56" s="170"/>
      <c r="F56" s="170"/>
      <c r="G56" s="170"/>
      <c r="H56" s="170"/>
      <c r="I56" s="171"/>
      <c r="J56" s="25">
        <f>SUM(J53:J55)</f>
        <v>1971000</v>
      </c>
      <c r="K56" s="74">
        <f>SUM(K53:K55)</f>
        <v>0</v>
      </c>
      <c r="L56" s="60">
        <f>SUM(L53:L55)</f>
        <v>0</v>
      </c>
      <c r="M56" s="60">
        <f>SUM(M53:M55)</f>
        <v>0</v>
      </c>
      <c r="N56" s="39"/>
      <c r="O56" s="75">
        <f>SUM(J56+K56+L56+M56)</f>
        <v>1971000</v>
      </c>
    </row>
    <row r="57" spans="1:15" ht="15.75" x14ac:dyDescent="0.25">
      <c r="B57" s="172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</row>
    <row r="58" spans="1:15" x14ac:dyDescent="0.25">
      <c r="B58" s="44">
        <v>1</v>
      </c>
      <c r="C58" s="43" t="s">
        <v>440</v>
      </c>
      <c r="D58" s="71" t="s">
        <v>1015</v>
      </c>
      <c r="E58" s="71" t="s">
        <v>921</v>
      </c>
      <c r="F58" s="70" t="s">
        <v>922</v>
      </c>
      <c r="G58" s="66">
        <v>46185</v>
      </c>
      <c r="H58" s="72"/>
      <c r="I58" s="22">
        <v>430200</v>
      </c>
      <c r="J58" s="37">
        <f t="shared" ref="J58:J60" si="7">I58</f>
        <v>430200</v>
      </c>
      <c r="K58" s="68"/>
      <c r="L58" s="69"/>
      <c r="M58" s="69"/>
      <c r="N58" s="22" t="s">
        <v>155</v>
      </c>
      <c r="O58" s="70"/>
    </row>
    <row r="59" spans="1:15" x14ac:dyDescent="0.25">
      <c r="B59" s="44">
        <v>2</v>
      </c>
      <c r="C59" s="43" t="s">
        <v>440</v>
      </c>
      <c r="D59" s="71" t="s">
        <v>1016</v>
      </c>
      <c r="E59" s="71" t="s">
        <v>1017</v>
      </c>
      <c r="F59" s="70" t="s">
        <v>919</v>
      </c>
      <c r="G59" s="66">
        <v>46185</v>
      </c>
      <c r="H59" s="72"/>
      <c r="I59" s="22">
        <v>860000</v>
      </c>
      <c r="J59" s="37">
        <f t="shared" si="7"/>
        <v>860000</v>
      </c>
      <c r="K59" s="68"/>
      <c r="L59" s="24"/>
      <c r="M59" s="24"/>
      <c r="N59" s="22" t="s">
        <v>155</v>
      </c>
      <c r="O59" s="70"/>
    </row>
    <row r="60" spans="1:15" x14ac:dyDescent="0.25">
      <c r="B60" s="44">
        <v>3</v>
      </c>
      <c r="C60" s="43" t="s">
        <v>440</v>
      </c>
      <c r="D60" s="71" t="s">
        <v>1018</v>
      </c>
      <c r="E60" s="71" t="s">
        <v>1019</v>
      </c>
      <c r="F60" s="70" t="s">
        <v>1020</v>
      </c>
      <c r="G60" s="66">
        <v>46185</v>
      </c>
      <c r="H60" s="72"/>
      <c r="I60" s="22">
        <v>2126000</v>
      </c>
      <c r="J60" s="37">
        <f t="shared" si="7"/>
        <v>2126000</v>
      </c>
      <c r="K60" s="68"/>
      <c r="L60" s="69"/>
      <c r="M60" s="69"/>
      <c r="N60" s="22" t="s">
        <v>155</v>
      </c>
      <c r="O60" s="70"/>
    </row>
    <row r="61" spans="1:15" ht="15.75" x14ac:dyDescent="0.25">
      <c r="A61" t="s">
        <v>3</v>
      </c>
      <c r="B61" s="169" t="s">
        <v>25</v>
      </c>
      <c r="C61" s="170"/>
      <c r="D61" s="170"/>
      <c r="E61" s="170"/>
      <c r="F61" s="170"/>
      <c r="G61" s="170"/>
      <c r="H61" s="170"/>
      <c r="I61" s="171"/>
      <c r="J61" s="76">
        <f>SUM(J58:J60)</f>
        <v>3416200</v>
      </c>
      <c r="K61" s="74">
        <f>SUM(K58:K60)</f>
        <v>0</v>
      </c>
      <c r="L61" s="60">
        <f>SUM(L58:L60)</f>
        <v>0</v>
      </c>
      <c r="M61" s="60">
        <f>SUM(M58:M60)</f>
        <v>0</v>
      </c>
      <c r="N61" s="39"/>
      <c r="O61" s="75">
        <f>SUM(J61+K61+L61+M61)</f>
        <v>3416200</v>
      </c>
    </row>
    <row r="62" spans="1:15" x14ac:dyDescent="0.25">
      <c r="D62" s="57"/>
      <c r="I62" s="58"/>
      <c r="J62" s="58"/>
    </row>
    <row r="63" spans="1:15" ht="15.75" x14ac:dyDescent="0.25">
      <c r="D63" s="57"/>
      <c r="G63" s="162" t="s">
        <v>1646</v>
      </c>
      <c r="H63" s="162"/>
      <c r="I63" s="163"/>
      <c r="J63" s="25">
        <f>SUM(J61+J56)</f>
        <v>5387200</v>
      </c>
      <c r="K63" s="74">
        <f>SUM(K61+K56)</f>
        <v>0</v>
      </c>
      <c r="L63" s="60">
        <f>SUM(L61+L56)</f>
        <v>0</v>
      </c>
      <c r="M63" s="60">
        <f>SUM(M61+M56)</f>
        <v>0</v>
      </c>
      <c r="N63" s="39"/>
      <c r="O63" s="77">
        <f>SUM(J63+K63+L63+M63)</f>
        <v>5387200</v>
      </c>
    </row>
    <row r="64" spans="1:15" ht="15.75" x14ac:dyDescent="0.25">
      <c r="D64" s="57"/>
      <c r="H64" s="41"/>
      <c r="I64" s="41"/>
      <c r="J64" s="41"/>
      <c r="K64" s="78"/>
      <c r="L64" s="78"/>
      <c r="M64" s="78"/>
      <c r="N64" s="79"/>
      <c r="O64" s="80"/>
    </row>
    <row r="65" spans="4:15" ht="15.75" x14ac:dyDescent="0.25">
      <c r="D65" s="57"/>
      <c r="H65" s="174" t="s">
        <v>27</v>
      </c>
      <c r="I65" s="175"/>
      <c r="J65" s="180" t="s">
        <v>14</v>
      </c>
      <c r="K65" s="180"/>
      <c r="L65" s="181" t="s">
        <v>15</v>
      </c>
      <c r="M65" s="181"/>
      <c r="N65" s="70"/>
      <c r="O65" s="182"/>
    </row>
    <row r="66" spans="4:15" ht="15.75" x14ac:dyDescent="0.25">
      <c r="D66" s="57"/>
      <c r="H66" s="176"/>
      <c r="I66" s="177"/>
      <c r="J66" s="6" t="s">
        <v>17</v>
      </c>
      <c r="K66" s="81" t="s">
        <v>18</v>
      </c>
      <c r="L66" s="82" t="s">
        <v>17</v>
      </c>
      <c r="M66" s="82" t="s">
        <v>18</v>
      </c>
      <c r="N66" s="70"/>
      <c r="O66" s="182"/>
    </row>
    <row r="67" spans="4:15" ht="15.75" x14ac:dyDescent="0.25">
      <c r="D67" s="57"/>
      <c r="H67" s="178"/>
      <c r="I67" s="179"/>
      <c r="J67" s="74">
        <f>SUM(J47,J63)</f>
        <v>11113100</v>
      </c>
      <c r="K67" s="74">
        <f>SUM(K63+K47)</f>
        <v>0</v>
      </c>
      <c r="L67" s="60">
        <f>SUM(L63+L47)</f>
        <v>3805842</v>
      </c>
      <c r="M67" s="60">
        <f>SUM(M63+M47)</f>
        <v>0</v>
      </c>
      <c r="N67" s="39"/>
      <c r="O67" s="182"/>
    </row>
    <row r="68" spans="4:15" x14ac:dyDescent="0.25">
      <c r="D68" s="57"/>
      <c r="I68" s="58"/>
      <c r="J68" s="58"/>
    </row>
    <row r="69" spans="4:15" ht="18.75" x14ac:dyDescent="0.3">
      <c r="D69" s="57"/>
      <c r="H69" s="183"/>
      <c r="I69" s="183"/>
      <c r="J69" s="83"/>
      <c r="L69" s="184" t="s">
        <v>28</v>
      </c>
      <c r="M69" s="185"/>
      <c r="N69" s="84">
        <f>SUM(J67+L67)</f>
        <v>14918942</v>
      </c>
      <c r="O69" s="186">
        <f>SUM(N69+N70)</f>
        <v>14918942</v>
      </c>
    </row>
    <row r="70" spans="4:15" ht="18.75" x14ac:dyDescent="0.3">
      <c r="D70" s="57"/>
      <c r="H70" s="183"/>
      <c r="I70" s="183"/>
      <c r="J70" s="83"/>
      <c r="L70" s="184" t="s">
        <v>29</v>
      </c>
      <c r="M70" s="185"/>
      <c r="N70" s="84">
        <f>SUM(K67+M67)</f>
        <v>0</v>
      </c>
      <c r="O70" s="187"/>
    </row>
    <row r="71" spans="4:15" ht="18.75" x14ac:dyDescent="0.3">
      <c r="D71" s="57"/>
      <c r="H71" s="168"/>
      <c r="I71" s="168"/>
      <c r="J71" s="85"/>
      <c r="K71" s="86"/>
    </row>
    <row r="72" spans="4:15" x14ac:dyDescent="0.25">
      <c r="D72" s="2" t="s">
        <v>30</v>
      </c>
      <c r="E72" s="1"/>
      <c r="F72" s="1"/>
      <c r="G72" s="1"/>
      <c r="H72" s="1"/>
      <c r="I72" s="1"/>
      <c r="J72" s="1"/>
      <c r="K72" s="1"/>
    </row>
    <row r="73" spans="4:15" x14ac:dyDescent="0.25">
      <c r="D73" s="2"/>
      <c r="E73" s="1"/>
      <c r="F73" s="1"/>
      <c r="G73" s="1"/>
      <c r="H73" s="1"/>
      <c r="I73" s="1"/>
      <c r="J73" s="1"/>
      <c r="K73" s="1"/>
    </row>
    <row r="74" spans="4:15" x14ac:dyDescent="0.25">
      <c r="D74" s="3" t="s">
        <v>31</v>
      </c>
      <c r="E74" s="3"/>
      <c r="F74" s="3" t="s">
        <v>32</v>
      </c>
      <c r="G74" s="3"/>
      <c r="H74" s="3" t="s">
        <v>33</v>
      </c>
      <c r="I74" s="3"/>
      <c r="J74" s="3" t="s">
        <v>34</v>
      </c>
      <c r="K74" s="3"/>
    </row>
    <row r="75" spans="4:15" x14ac:dyDescent="0.25">
      <c r="D75" s="3"/>
      <c r="E75" s="3"/>
      <c r="F75" s="3"/>
      <c r="G75" s="3"/>
      <c r="H75" s="3"/>
      <c r="I75" s="3"/>
      <c r="J75" s="3"/>
      <c r="K75" s="3"/>
    </row>
    <row r="76" spans="4:15" x14ac:dyDescent="0.25">
      <c r="D76" s="3"/>
      <c r="E76" s="3"/>
      <c r="F76" s="3"/>
      <c r="G76" s="3"/>
      <c r="H76" s="3"/>
      <c r="I76" s="3"/>
      <c r="J76" s="3"/>
      <c r="K76" s="3"/>
    </row>
    <row r="77" spans="4:15" x14ac:dyDescent="0.25">
      <c r="D77" s="3"/>
      <c r="E77" s="3"/>
      <c r="F77" s="3"/>
      <c r="G77" s="3"/>
      <c r="H77" s="3"/>
      <c r="I77" s="3"/>
      <c r="J77" s="3"/>
      <c r="K77" s="3"/>
    </row>
    <row r="78" spans="4:15" x14ac:dyDescent="0.25">
      <c r="D78" s="3" t="s">
        <v>35</v>
      </c>
      <c r="E78" s="3"/>
      <c r="F78" s="3" t="s">
        <v>36</v>
      </c>
      <c r="G78" s="3"/>
      <c r="H78" s="3" t="s">
        <v>36</v>
      </c>
      <c r="I78" s="3"/>
      <c r="J78" s="3" t="s">
        <v>37</v>
      </c>
      <c r="K78" s="3"/>
    </row>
    <row r="79" spans="4:15" x14ac:dyDescent="0.25">
      <c r="D79" s="57"/>
    </row>
    <row r="80" spans="4:15" x14ac:dyDescent="0.25">
      <c r="D80" s="57"/>
    </row>
    <row r="81" spans="4:4" x14ac:dyDescent="0.25">
      <c r="D81" s="57"/>
    </row>
    <row r="82" spans="4:4" x14ac:dyDescent="0.25">
      <c r="D82" s="57"/>
    </row>
    <row r="83" spans="4:4" x14ac:dyDescent="0.25">
      <c r="D83" s="57"/>
    </row>
  </sheetData>
  <mergeCells count="48">
    <mergeCell ref="O50:O51"/>
    <mergeCell ref="J51:K51"/>
    <mergeCell ref="L51:M51"/>
    <mergeCell ref="H71:I71"/>
    <mergeCell ref="B56:I56"/>
    <mergeCell ref="B57:O57"/>
    <mergeCell ref="B61:I61"/>
    <mergeCell ref="H65:I67"/>
    <mergeCell ref="J65:K65"/>
    <mergeCell ref="L65:M65"/>
    <mergeCell ref="O65:O67"/>
    <mergeCell ref="H69:I69"/>
    <mergeCell ref="L69:M69"/>
    <mergeCell ref="O69:O70"/>
    <mergeCell ref="H70:I70"/>
    <mergeCell ref="L70:M70"/>
    <mergeCell ref="L7:M7"/>
    <mergeCell ref="G50:G51"/>
    <mergeCell ref="B17:O17"/>
    <mergeCell ref="B31:I31"/>
    <mergeCell ref="B32:O32"/>
    <mergeCell ref="B44:I44"/>
    <mergeCell ref="G47:I47"/>
    <mergeCell ref="B49:D49"/>
    <mergeCell ref="B50:B51"/>
    <mergeCell ref="C50:C51"/>
    <mergeCell ref="D50:D51"/>
    <mergeCell ref="E50:E51"/>
    <mergeCell ref="F50:F51"/>
    <mergeCell ref="H50:H51"/>
    <mergeCell ref="I50:I51"/>
    <mergeCell ref="J50:N50"/>
    <mergeCell ref="G63:I63"/>
    <mergeCell ref="B16:I1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" right="0" top="0" bottom="0" header="0" footer="0"/>
  <pageSetup paperSize="9" scale="68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E781-99E2-454A-9BCE-422A2D13C358}">
  <dimension ref="A2:Q89"/>
  <sheetViews>
    <sheetView topLeftCell="E58" workbookViewId="0">
      <selection activeCell="G69" sqref="G69:I69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1021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1022</v>
      </c>
      <c r="E9" s="14" t="s">
        <v>621</v>
      </c>
      <c r="F9" s="15" t="s">
        <v>1023</v>
      </c>
      <c r="G9" s="16">
        <v>46157</v>
      </c>
      <c r="H9" s="16">
        <v>46170</v>
      </c>
      <c r="I9" s="17">
        <v>330200</v>
      </c>
      <c r="J9" s="18">
        <v>150000</v>
      </c>
      <c r="K9" s="19"/>
      <c r="L9" s="20"/>
      <c r="M9" s="20"/>
      <c r="N9" s="21" t="s">
        <v>155</v>
      </c>
      <c r="O9" s="22"/>
    </row>
    <row r="10" spans="2:17" x14ac:dyDescent="0.25">
      <c r="B10" s="11">
        <v>2</v>
      </c>
      <c r="C10" s="12"/>
      <c r="D10" s="13" t="s">
        <v>1024</v>
      </c>
      <c r="E10" s="14" t="s">
        <v>1025</v>
      </c>
      <c r="F10" s="15" t="s">
        <v>641</v>
      </c>
      <c r="G10" s="16">
        <v>46172</v>
      </c>
      <c r="H10" s="16">
        <v>46185</v>
      </c>
      <c r="I10" s="23">
        <v>430200</v>
      </c>
      <c r="J10" s="18">
        <f t="shared" ref="J10:J13" si="0">I10</f>
        <v>430200</v>
      </c>
      <c r="K10" s="19"/>
      <c r="L10" s="24"/>
      <c r="M10" s="24"/>
      <c r="N10" s="21" t="s">
        <v>155</v>
      </c>
      <c r="O10" s="22"/>
    </row>
    <row r="11" spans="2:17" x14ac:dyDescent="0.25">
      <c r="B11" s="11">
        <v>3</v>
      </c>
      <c r="C11" s="12"/>
      <c r="D11" s="13" t="s">
        <v>1026</v>
      </c>
      <c r="E11" s="14" t="s">
        <v>1027</v>
      </c>
      <c r="F11" s="15" t="s">
        <v>1028</v>
      </c>
      <c r="G11" s="16">
        <v>46174</v>
      </c>
      <c r="H11" s="16">
        <v>46186</v>
      </c>
      <c r="I11" s="23">
        <v>328700</v>
      </c>
      <c r="J11" s="18">
        <f t="shared" si="0"/>
        <v>328700</v>
      </c>
      <c r="K11" s="19"/>
      <c r="L11" s="24"/>
      <c r="M11" s="24"/>
      <c r="N11" s="21" t="s">
        <v>155</v>
      </c>
      <c r="O11" s="22"/>
    </row>
    <row r="12" spans="2:17" x14ac:dyDescent="0.25">
      <c r="B12" s="11">
        <v>4</v>
      </c>
      <c r="C12" s="12"/>
      <c r="D12" s="13" t="s">
        <v>1029</v>
      </c>
      <c r="E12" s="14" t="s">
        <v>1030</v>
      </c>
      <c r="F12" s="15" t="s">
        <v>1031</v>
      </c>
      <c r="G12" s="16">
        <v>46174</v>
      </c>
      <c r="H12" s="16">
        <v>46186</v>
      </c>
      <c r="I12" s="23">
        <v>1948000</v>
      </c>
      <c r="J12" s="18">
        <f t="shared" si="0"/>
        <v>1948000</v>
      </c>
      <c r="K12" s="19"/>
      <c r="L12" s="24"/>
      <c r="M12" s="24"/>
      <c r="N12" s="21" t="s">
        <v>155</v>
      </c>
      <c r="O12" s="22"/>
    </row>
    <row r="13" spans="2:17" x14ac:dyDescent="0.25">
      <c r="B13" s="11">
        <v>5</v>
      </c>
      <c r="C13" s="12"/>
      <c r="D13" s="13" t="s">
        <v>1032</v>
      </c>
      <c r="E13" s="14" t="s">
        <v>1033</v>
      </c>
      <c r="F13" s="15" t="s">
        <v>1034</v>
      </c>
      <c r="G13" s="16">
        <v>46174</v>
      </c>
      <c r="H13" s="16">
        <v>46186</v>
      </c>
      <c r="I13" s="23">
        <v>2151000</v>
      </c>
      <c r="J13" s="18">
        <f t="shared" si="0"/>
        <v>2151000</v>
      </c>
      <c r="K13" s="19"/>
      <c r="L13" s="24"/>
      <c r="M13" s="24"/>
      <c r="N13" s="21" t="s">
        <v>155</v>
      </c>
      <c r="O13" s="22"/>
    </row>
    <row r="14" spans="2:17" x14ac:dyDescent="0.25">
      <c r="B14" s="11">
        <v>6</v>
      </c>
      <c r="C14" s="12"/>
      <c r="D14" s="13" t="s">
        <v>1036</v>
      </c>
      <c r="E14" s="14" t="s">
        <v>1027</v>
      </c>
      <c r="F14" s="15" t="s">
        <v>1028</v>
      </c>
      <c r="G14" s="16">
        <v>46174</v>
      </c>
      <c r="H14" s="16">
        <v>46186</v>
      </c>
      <c r="I14" s="23">
        <v>428556</v>
      </c>
      <c r="J14" s="18"/>
      <c r="K14" s="19"/>
      <c r="L14" s="24">
        <f t="shared" ref="L14:L15" si="1">I14</f>
        <v>428556</v>
      </c>
      <c r="M14" s="24"/>
      <c r="N14" s="21" t="s">
        <v>155</v>
      </c>
      <c r="O14" s="22"/>
    </row>
    <row r="15" spans="2:17" x14ac:dyDescent="0.25">
      <c r="B15" s="11">
        <v>7</v>
      </c>
      <c r="C15" s="12"/>
      <c r="D15" s="13" t="s">
        <v>1037</v>
      </c>
      <c r="E15" s="14" t="s">
        <v>1038</v>
      </c>
      <c r="F15" s="15" t="s">
        <v>1039</v>
      </c>
      <c r="G15" s="16">
        <v>46174</v>
      </c>
      <c r="H15" s="16">
        <v>46186</v>
      </c>
      <c r="I15" s="23">
        <v>720000</v>
      </c>
      <c r="J15" s="18"/>
      <c r="K15" s="19"/>
      <c r="L15" s="24">
        <f t="shared" si="1"/>
        <v>720000</v>
      </c>
      <c r="M15" s="24"/>
      <c r="N15" s="21" t="s">
        <v>155</v>
      </c>
      <c r="O15" s="22"/>
    </row>
    <row r="16" spans="2:17" ht="15.75" x14ac:dyDescent="0.25">
      <c r="B16" s="169" t="s">
        <v>13</v>
      </c>
      <c r="C16" s="170"/>
      <c r="D16" s="170"/>
      <c r="E16" s="170"/>
      <c r="F16" s="170"/>
      <c r="G16" s="170"/>
      <c r="H16" s="170"/>
      <c r="I16" s="171"/>
      <c r="J16" s="25">
        <f>SUM(J9:J15)</f>
        <v>5007900</v>
      </c>
      <c r="K16" s="26">
        <f>SUM(K9:K15)</f>
        <v>0</v>
      </c>
      <c r="L16" s="27">
        <f>SUM(L9:L15)</f>
        <v>1148556</v>
      </c>
      <c r="M16" s="28">
        <f>SUM(M9:M15)</f>
        <v>0</v>
      </c>
      <c r="N16" s="29"/>
      <c r="O16" s="30">
        <f>SUM(J16+K16+L16+M16)</f>
        <v>6156456</v>
      </c>
    </row>
    <row r="17" spans="2:15" ht="15.75" x14ac:dyDescent="0.25"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</row>
    <row r="18" spans="2:15" x14ac:dyDescent="0.25">
      <c r="B18" s="11">
        <v>1</v>
      </c>
      <c r="C18" s="31" t="s">
        <v>20</v>
      </c>
      <c r="D18" s="13" t="s">
        <v>1040</v>
      </c>
      <c r="E18" s="32" t="s">
        <v>1041</v>
      </c>
      <c r="F18" s="33" t="s">
        <v>168</v>
      </c>
      <c r="G18" s="34">
        <v>46158</v>
      </c>
      <c r="H18" s="35">
        <v>46171</v>
      </c>
      <c r="I18" s="36">
        <v>227200</v>
      </c>
      <c r="J18" s="37">
        <f>I18</f>
        <v>227200</v>
      </c>
      <c r="K18" s="19"/>
      <c r="L18" s="24"/>
      <c r="M18" s="24"/>
      <c r="N18" s="22" t="s">
        <v>155</v>
      </c>
      <c r="O18" s="22"/>
    </row>
    <row r="19" spans="2:15" x14ac:dyDescent="0.25">
      <c r="B19" s="11">
        <v>2</v>
      </c>
      <c r="C19" s="31"/>
      <c r="D19" s="13" t="s">
        <v>1042</v>
      </c>
      <c r="E19" s="32" t="s">
        <v>1043</v>
      </c>
      <c r="F19" s="33" t="s">
        <v>1044</v>
      </c>
      <c r="G19" s="34">
        <v>46158</v>
      </c>
      <c r="H19" s="35">
        <v>46171</v>
      </c>
      <c r="I19" s="36">
        <v>113600</v>
      </c>
      <c r="J19" s="37">
        <f t="shared" ref="J19:J25" si="2">I19</f>
        <v>113600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3</v>
      </c>
      <c r="C20" s="31"/>
      <c r="D20" s="13" t="s">
        <v>1045</v>
      </c>
      <c r="E20" s="32" t="s">
        <v>498</v>
      </c>
      <c r="F20" s="33" t="s">
        <v>972</v>
      </c>
      <c r="G20" s="34">
        <v>46158</v>
      </c>
      <c r="H20" s="35">
        <v>46171</v>
      </c>
      <c r="I20" s="36">
        <v>215100</v>
      </c>
      <c r="J20" s="37">
        <f t="shared" si="2"/>
        <v>215100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4</v>
      </c>
      <c r="C21" s="31"/>
      <c r="D21" s="13" t="s">
        <v>1046</v>
      </c>
      <c r="E21" s="32" t="s">
        <v>1047</v>
      </c>
      <c r="F21" s="33" t="s">
        <v>1048</v>
      </c>
      <c r="G21" s="34">
        <v>46160</v>
      </c>
      <c r="H21" s="35">
        <v>46173</v>
      </c>
      <c r="I21" s="36">
        <v>4302000</v>
      </c>
      <c r="J21" s="37">
        <v>2000000</v>
      </c>
      <c r="K21" s="19"/>
      <c r="L21" s="24"/>
      <c r="M21" s="24"/>
      <c r="N21" s="22" t="s">
        <v>158</v>
      </c>
      <c r="O21" s="22"/>
    </row>
    <row r="22" spans="2:15" x14ac:dyDescent="0.25">
      <c r="B22" s="11">
        <v>5</v>
      </c>
      <c r="C22" s="31"/>
      <c r="D22" s="13" t="s">
        <v>1049</v>
      </c>
      <c r="E22" s="32" t="s">
        <v>1050</v>
      </c>
      <c r="F22" s="33" t="s">
        <v>972</v>
      </c>
      <c r="G22" s="34">
        <v>46172</v>
      </c>
      <c r="H22" s="35">
        <v>46185</v>
      </c>
      <c r="I22" s="36">
        <v>328700</v>
      </c>
      <c r="J22" s="37">
        <v>100000</v>
      </c>
      <c r="K22" s="19"/>
      <c r="L22" s="24"/>
      <c r="M22" s="24"/>
      <c r="N22" s="22" t="s">
        <v>1109</v>
      </c>
      <c r="O22" s="22"/>
    </row>
    <row r="23" spans="2:15" x14ac:dyDescent="0.25">
      <c r="B23" s="11">
        <v>6</v>
      </c>
      <c r="C23" s="31"/>
      <c r="D23" s="13" t="s">
        <v>1051</v>
      </c>
      <c r="E23" s="32" t="s">
        <v>1052</v>
      </c>
      <c r="F23" s="33" t="s">
        <v>86</v>
      </c>
      <c r="G23" s="34">
        <v>46174</v>
      </c>
      <c r="H23" s="35">
        <v>46186</v>
      </c>
      <c r="I23" s="36">
        <v>2151000</v>
      </c>
      <c r="J23" s="37"/>
      <c r="K23" s="19">
        <v>2151000</v>
      </c>
      <c r="L23" s="24"/>
      <c r="M23" s="24"/>
      <c r="N23" s="22" t="s">
        <v>1106</v>
      </c>
      <c r="O23" s="22"/>
    </row>
    <row r="24" spans="2:15" x14ac:dyDescent="0.25">
      <c r="B24" s="11">
        <v>7</v>
      </c>
      <c r="C24" s="31"/>
      <c r="D24" s="13" t="s">
        <v>1053</v>
      </c>
      <c r="E24" s="32" t="s">
        <v>1054</v>
      </c>
      <c r="F24" s="33" t="s">
        <v>1055</v>
      </c>
      <c r="G24" s="34">
        <v>46174</v>
      </c>
      <c r="H24" s="35">
        <v>46186</v>
      </c>
      <c r="I24" s="36">
        <v>113600</v>
      </c>
      <c r="J24" s="37">
        <f t="shared" si="2"/>
        <v>113600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8</v>
      </c>
      <c r="C25" s="31"/>
      <c r="D25" s="13" t="s">
        <v>1056</v>
      </c>
      <c r="E25" s="32" t="s">
        <v>1057</v>
      </c>
      <c r="F25" s="33" t="s">
        <v>1058</v>
      </c>
      <c r="G25" s="34">
        <v>46174</v>
      </c>
      <c r="H25" s="35">
        <v>46186</v>
      </c>
      <c r="I25" s="36">
        <v>215100</v>
      </c>
      <c r="J25" s="37">
        <f t="shared" si="2"/>
        <v>215100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9</v>
      </c>
      <c r="C26" s="31"/>
      <c r="D26" s="13" t="s">
        <v>1059</v>
      </c>
      <c r="E26" s="32" t="s">
        <v>1043</v>
      </c>
      <c r="F26" s="33" t="s">
        <v>1044</v>
      </c>
      <c r="G26" s="34">
        <v>46158</v>
      </c>
      <c r="H26" s="35">
        <v>46171</v>
      </c>
      <c r="I26" s="36">
        <v>390000</v>
      </c>
      <c r="J26" s="37"/>
      <c r="K26" s="19"/>
      <c r="L26" s="24">
        <f t="shared" ref="L26:L28" si="3">I26</f>
        <v>390000</v>
      </c>
      <c r="M26" s="24"/>
      <c r="N26" s="22" t="s">
        <v>155</v>
      </c>
      <c r="O26" s="22"/>
    </row>
    <row r="27" spans="2:15" x14ac:dyDescent="0.25">
      <c r="B27" s="11">
        <v>10</v>
      </c>
      <c r="C27" s="31"/>
      <c r="D27" s="13" t="s">
        <v>1060</v>
      </c>
      <c r="E27" s="32" t="s">
        <v>1061</v>
      </c>
      <c r="F27" s="33" t="s">
        <v>268</v>
      </c>
      <c r="G27" s="34">
        <v>46174</v>
      </c>
      <c r="H27" s="35">
        <v>46186</v>
      </c>
      <c r="I27" s="36">
        <v>323340</v>
      </c>
      <c r="J27" s="37"/>
      <c r="K27" s="19"/>
      <c r="L27" s="24">
        <f t="shared" si="3"/>
        <v>323340</v>
      </c>
      <c r="M27" s="24"/>
      <c r="N27" s="22" t="s">
        <v>155</v>
      </c>
      <c r="O27" s="22"/>
    </row>
    <row r="28" spans="2:15" x14ac:dyDescent="0.25">
      <c r="B28" s="11">
        <v>11</v>
      </c>
      <c r="C28" s="31"/>
      <c r="D28" s="13" t="s">
        <v>1062</v>
      </c>
      <c r="E28" s="32" t="s">
        <v>1057</v>
      </c>
      <c r="F28" s="33" t="s">
        <v>1058</v>
      </c>
      <c r="G28" s="34">
        <v>46174</v>
      </c>
      <c r="H28" s="35">
        <v>46186</v>
      </c>
      <c r="I28" s="36">
        <v>150584</v>
      </c>
      <c r="J28" s="37"/>
      <c r="K28" s="19"/>
      <c r="L28" s="24">
        <f t="shared" si="3"/>
        <v>150584</v>
      </c>
      <c r="M28" s="24"/>
      <c r="N28" s="22" t="s">
        <v>155</v>
      </c>
      <c r="O28" s="22"/>
    </row>
    <row r="29" spans="2:15" x14ac:dyDescent="0.25">
      <c r="B29" s="11">
        <v>12</v>
      </c>
      <c r="C29" s="31"/>
      <c r="D29" s="13" t="s">
        <v>1063</v>
      </c>
      <c r="E29" s="32" t="s">
        <v>1052</v>
      </c>
      <c r="F29" s="33" t="s">
        <v>86</v>
      </c>
      <c r="G29" s="34">
        <v>46174</v>
      </c>
      <c r="H29" s="35">
        <v>46186</v>
      </c>
      <c r="I29" s="36">
        <v>282996</v>
      </c>
      <c r="J29" s="37"/>
      <c r="K29" s="19"/>
      <c r="L29" s="24"/>
      <c r="M29" s="24">
        <v>282996</v>
      </c>
      <c r="N29" s="22" t="s">
        <v>1106</v>
      </c>
      <c r="O29" s="22"/>
    </row>
    <row r="30" spans="2:15" ht="15.75" x14ac:dyDescent="0.25">
      <c r="B30" s="192" t="s">
        <v>13</v>
      </c>
      <c r="C30" s="193"/>
      <c r="D30" s="193"/>
      <c r="E30" s="193"/>
      <c r="F30" s="193"/>
      <c r="G30" s="193"/>
      <c r="H30" s="193"/>
      <c r="I30" s="194"/>
      <c r="J30" s="38">
        <f>SUM(J18:J29)</f>
        <v>2984600</v>
      </c>
      <c r="K30" s="26">
        <f>SUM(K18:K29)</f>
        <v>2151000</v>
      </c>
      <c r="L30" s="27">
        <f>SUM(L18:L29)</f>
        <v>863924</v>
      </c>
      <c r="M30" s="27">
        <f>SUM(M18:M29)</f>
        <v>282996</v>
      </c>
      <c r="N30" s="39"/>
      <c r="O30" s="40">
        <f>SUM(J30+K30+L30+M30)</f>
        <v>6282520</v>
      </c>
    </row>
    <row r="31" spans="2:15" ht="15.75" x14ac:dyDescent="0.25">
      <c r="B31" s="195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</row>
    <row r="32" spans="2:15" ht="15.75" x14ac:dyDescent="0.25">
      <c r="B32" s="42">
        <v>1</v>
      </c>
      <c r="C32" s="43" t="s">
        <v>21</v>
      </c>
      <c r="D32" s="44" t="s">
        <v>1064</v>
      </c>
      <c r="E32" s="45" t="s">
        <v>1065</v>
      </c>
      <c r="F32" s="45" t="s">
        <v>1066</v>
      </c>
      <c r="G32" s="46">
        <v>46160</v>
      </c>
      <c r="H32" s="46">
        <v>46172</v>
      </c>
      <c r="I32" s="47">
        <v>30200</v>
      </c>
      <c r="J32" s="48">
        <f>I32</f>
        <v>30200</v>
      </c>
      <c r="K32" s="49"/>
      <c r="L32" s="50"/>
      <c r="M32" s="50"/>
      <c r="N32" s="22" t="s">
        <v>155</v>
      </c>
      <c r="O32" s="42"/>
    </row>
    <row r="33" spans="2:15" ht="15.75" x14ac:dyDescent="0.25">
      <c r="B33" s="42">
        <v>2</v>
      </c>
      <c r="C33" s="43"/>
      <c r="D33" s="44" t="s">
        <v>1067</v>
      </c>
      <c r="E33" s="45" t="s">
        <v>1068</v>
      </c>
      <c r="F33" s="45" t="s">
        <v>1069</v>
      </c>
      <c r="G33" s="46">
        <v>46172</v>
      </c>
      <c r="H33" s="46">
        <v>46185</v>
      </c>
      <c r="I33" s="47">
        <v>215100</v>
      </c>
      <c r="J33" s="48">
        <f t="shared" ref="J33:J41" si="4">I33</f>
        <v>215100</v>
      </c>
      <c r="K33" s="49"/>
      <c r="L33" s="50"/>
      <c r="M33" s="50"/>
      <c r="N33" s="22" t="s">
        <v>155</v>
      </c>
      <c r="O33" s="42"/>
    </row>
    <row r="34" spans="2:15" ht="15.75" x14ac:dyDescent="0.25">
      <c r="B34" s="42">
        <v>3</v>
      </c>
      <c r="C34" s="43"/>
      <c r="D34" s="44" t="s">
        <v>1070</v>
      </c>
      <c r="E34" s="45" t="s">
        <v>1071</v>
      </c>
      <c r="F34" s="45" t="s">
        <v>1072</v>
      </c>
      <c r="G34" s="46">
        <v>46174</v>
      </c>
      <c r="H34" s="46">
        <v>46186</v>
      </c>
      <c r="I34" s="47">
        <v>1302700</v>
      </c>
      <c r="J34" s="48">
        <f t="shared" si="4"/>
        <v>1302700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4</v>
      </c>
      <c r="C35" s="43"/>
      <c r="D35" s="44" t="s">
        <v>1073</v>
      </c>
      <c r="E35" s="45" t="s">
        <v>1074</v>
      </c>
      <c r="F35" s="45" t="s">
        <v>1066</v>
      </c>
      <c r="G35" s="46">
        <v>46174</v>
      </c>
      <c r="H35" s="46">
        <v>46186</v>
      </c>
      <c r="I35" s="47">
        <v>2378200</v>
      </c>
      <c r="J35" s="48">
        <f t="shared" si="4"/>
        <v>2378200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5</v>
      </c>
      <c r="C36" s="43"/>
      <c r="D36" s="44" t="s">
        <v>1075</v>
      </c>
      <c r="E36" s="45" t="s">
        <v>106</v>
      </c>
      <c r="F36" s="45" t="s">
        <v>1066</v>
      </c>
      <c r="G36" s="46">
        <v>46174</v>
      </c>
      <c r="H36" s="46">
        <v>46186</v>
      </c>
      <c r="I36" s="47">
        <v>2151000</v>
      </c>
      <c r="J36" s="48">
        <f t="shared" si="4"/>
        <v>2151000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6</v>
      </c>
      <c r="C37" s="43"/>
      <c r="D37" s="44" t="s">
        <v>1076</v>
      </c>
      <c r="E37" s="45" t="s">
        <v>119</v>
      </c>
      <c r="F37" s="45" t="s">
        <v>1077</v>
      </c>
      <c r="G37" s="46">
        <v>46174</v>
      </c>
      <c r="H37" s="46">
        <v>46186</v>
      </c>
      <c r="I37" s="47">
        <v>430200</v>
      </c>
      <c r="J37" s="48">
        <v>400000</v>
      </c>
      <c r="K37" s="49"/>
      <c r="L37" s="50"/>
      <c r="M37" s="50"/>
      <c r="N37" s="22" t="s">
        <v>158</v>
      </c>
      <c r="O37" s="42"/>
    </row>
    <row r="38" spans="2:15" ht="15.75" x14ac:dyDescent="0.25">
      <c r="B38" s="42">
        <v>7</v>
      </c>
      <c r="C38" s="43"/>
      <c r="D38" s="44" t="s">
        <v>1078</v>
      </c>
      <c r="E38" s="45" t="s">
        <v>1074</v>
      </c>
      <c r="F38" s="45" t="s">
        <v>1079</v>
      </c>
      <c r="G38" s="46">
        <v>46174</v>
      </c>
      <c r="H38" s="46">
        <v>46186</v>
      </c>
      <c r="I38" s="47">
        <v>758900</v>
      </c>
      <c r="J38" s="48">
        <f t="shared" si="4"/>
        <v>758900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8</v>
      </c>
      <c r="C39" s="43"/>
      <c r="D39" s="44" t="s">
        <v>1080</v>
      </c>
      <c r="E39" s="45" t="s">
        <v>100</v>
      </c>
      <c r="F39" s="45" t="s">
        <v>101</v>
      </c>
      <c r="G39" s="46">
        <v>46174</v>
      </c>
      <c r="H39" s="46">
        <v>46186</v>
      </c>
      <c r="I39" s="47">
        <v>645300</v>
      </c>
      <c r="J39" s="48">
        <v>500000</v>
      </c>
      <c r="K39" s="49"/>
      <c r="L39" s="50"/>
      <c r="M39" s="50"/>
      <c r="N39" s="22" t="s">
        <v>158</v>
      </c>
      <c r="O39" s="42"/>
    </row>
    <row r="40" spans="2:15" ht="15.75" x14ac:dyDescent="0.25">
      <c r="B40" s="42">
        <v>9</v>
      </c>
      <c r="C40" s="43"/>
      <c r="D40" s="44" t="s">
        <v>1081</v>
      </c>
      <c r="E40" s="45" t="s">
        <v>103</v>
      </c>
      <c r="F40" s="45" t="s">
        <v>104</v>
      </c>
      <c r="G40" s="46">
        <v>46174</v>
      </c>
      <c r="H40" s="46">
        <v>46186</v>
      </c>
      <c r="I40" s="47">
        <v>645300</v>
      </c>
      <c r="J40" s="48">
        <v>250000</v>
      </c>
      <c r="K40" s="49"/>
      <c r="L40" s="50"/>
      <c r="M40" s="50"/>
      <c r="N40" s="22" t="s">
        <v>158</v>
      </c>
      <c r="O40" s="42"/>
    </row>
    <row r="41" spans="2:15" ht="15.75" x14ac:dyDescent="0.25">
      <c r="B41" s="42">
        <v>10</v>
      </c>
      <c r="C41" s="43"/>
      <c r="D41" s="44" t="s">
        <v>1082</v>
      </c>
      <c r="E41" s="45" t="s">
        <v>1083</v>
      </c>
      <c r="F41" s="45" t="s">
        <v>423</v>
      </c>
      <c r="G41" s="46">
        <v>46174</v>
      </c>
      <c r="H41" s="46">
        <v>46186</v>
      </c>
      <c r="I41" s="47">
        <v>645300</v>
      </c>
      <c r="J41" s="48">
        <f t="shared" si="4"/>
        <v>645300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11</v>
      </c>
      <c r="C42" s="43"/>
      <c r="D42" s="44" t="s">
        <v>1084</v>
      </c>
      <c r="E42" s="45" t="s">
        <v>1065</v>
      </c>
      <c r="F42" s="45" t="s">
        <v>1066</v>
      </c>
      <c r="G42" s="46">
        <v>46160</v>
      </c>
      <c r="H42" s="46">
        <v>46172</v>
      </c>
      <c r="I42" s="47">
        <v>342780</v>
      </c>
      <c r="J42" s="48"/>
      <c r="K42" s="49"/>
      <c r="L42" s="51">
        <f>I42</f>
        <v>342780</v>
      </c>
      <c r="M42" s="50"/>
      <c r="N42" s="22" t="s">
        <v>155</v>
      </c>
      <c r="O42" s="42"/>
    </row>
    <row r="43" spans="2:15" ht="15.75" x14ac:dyDescent="0.25">
      <c r="B43" s="42">
        <v>12</v>
      </c>
      <c r="C43" s="43"/>
      <c r="D43" s="44" t="s">
        <v>1085</v>
      </c>
      <c r="E43" s="45" t="s">
        <v>1071</v>
      </c>
      <c r="F43" s="45" t="s">
        <v>1072</v>
      </c>
      <c r="G43" s="46">
        <v>46174</v>
      </c>
      <c r="H43" s="46">
        <v>46186</v>
      </c>
      <c r="I43" s="47">
        <v>117140</v>
      </c>
      <c r="J43" s="48"/>
      <c r="K43" s="49"/>
      <c r="L43" s="51">
        <f t="shared" ref="L43:L45" si="5">I43</f>
        <v>117140</v>
      </c>
      <c r="M43" s="50"/>
      <c r="N43" s="22" t="s">
        <v>155</v>
      </c>
      <c r="O43" s="42"/>
    </row>
    <row r="44" spans="2:15" ht="15.75" x14ac:dyDescent="0.25">
      <c r="B44" s="42">
        <v>13</v>
      </c>
      <c r="C44" s="43"/>
      <c r="D44" s="44" t="s">
        <v>1086</v>
      </c>
      <c r="E44" s="45" t="s">
        <v>1074</v>
      </c>
      <c r="F44" s="45" t="s">
        <v>1066</v>
      </c>
      <c r="G44" s="46">
        <v>46174</v>
      </c>
      <c r="H44" s="46">
        <v>46186</v>
      </c>
      <c r="I44" s="47">
        <v>128498</v>
      </c>
      <c r="J44" s="48"/>
      <c r="K44" s="49"/>
      <c r="L44" s="51">
        <f t="shared" si="5"/>
        <v>128498</v>
      </c>
      <c r="M44" s="51"/>
      <c r="N44" s="22" t="s">
        <v>155</v>
      </c>
      <c r="O44" s="42"/>
    </row>
    <row r="45" spans="2:15" ht="15.75" x14ac:dyDescent="0.25">
      <c r="B45" s="42">
        <v>14</v>
      </c>
      <c r="C45" s="42"/>
      <c r="D45" s="44" t="s">
        <v>1087</v>
      </c>
      <c r="E45" s="45" t="s">
        <v>106</v>
      </c>
      <c r="F45" s="45" t="s">
        <v>1066</v>
      </c>
      <c r="G45" s="46">
        <v>46174</v>
      </c>
      <c r="H45" s="46">
        <v>46186</v>
      </c>
      <c r="I45" s="47">
        <v>160000</v>
      </c>
      <c r="J45" s="48"/>
      <c r="K45" s="49"/>
      <c r="L45" s="51">
        <f t="shared" si="5"/>
        <v>160000</v>
      </c>
      <c r="M45" s="51"/>
      <c r="N45" s="22" t="s">
        <v>155</v>
      </c>
      <c r="O45" s="42"/>
    </row>
    <row r="46" spans="2:15" ht="15.75" x14ac:dyDescent="0.25">
      <c r="B46" s="197" t="s">
        <v>13</v>
      </c>
      <c r="C46" s="198"/>
      <c r="D46" s="198"/>
      <c r="E46" s="198"/>
      <c r="F46" s="198"/>
      <c r="G46" s="198"/>
      <c r="H46" s="198"/>
      <c r="I46" s="199"/>
      <c r="J46" s="52">
        <f>SUM(J32:J45)</f>
        <v>8631400</v>
      </c>
      <c r="K46" s="53">
        <f>SUM(K32:K45)</f>
        <v>0</v>
      </c>
      <c r="L46" s="54">
        <f>SUM(L32:L45)</f>
        <v>748418</v>
      </c>
      <c r="M46" s="54">
        <f>SUM(M32:M45)</f>
        <v>0</v>
      </c>
      <c r="N46" s="55"/>
      <c r="O46" s="56">
        <f>SUM(J46+K46+L46+M46)</f>
        <v>9379818</v>
      </c>
    </row>
    <row r="47" spans="2:15" x14ac:dyDescent="0.25">
      <c r="D47" s="57"/>
      <c r="I47" s="58"/>
      <c r="J47" s="58"/>
    </row>
    <row r="48" spans="2:15" x14ac:dyDescent="0.25">
      <c r="D48" s="57"/>
      <c r="I48" s="58"/>
      <c r="J48" s="58"/>
    </row>
    <row r="49" spans="2:15" ht="15.75" x14ac:dyDescent="0.25">
      <c r="D49" s="57"/>
      <c r="G49" s="200" t="s">
        <v>22</v>
      </c>
      <c r="H49" s="200"/>
      <c r="I49" s="200"/>
      <c r="J49" s="59">
        <f>SUM(J46+J30+J16)</f>
        <v>16623900</v>
      </c>
      <c r="K49" s="26">
        <f>SUM(K46+K30+K16)</f>
        <v>2151000</v>
      </c>
      <c r="L49" s="60">
        <f>SUM(L46+L30+L16)</f>
        <v>2760898</v>
      </c>
      <c r="M49" s="60">
        <f>SUM(M46+M30+M16)</f>
        <v>282996</v>
      </c>
      <c r="N49" s="39"/>
      <c r="O49" s="30">
        <f>SUM(J49+K49+L49+M49)</f>
        <v>21818794</v>
      </c>
    </row>
    <row r="50" spans="2:15" x14ac:dyDescent="0.25">
      <c r="D50" s="57"/>
      <c r="I50" s="58"/>
      <c r="J50" s="58"/>
    </row>
    <row r="51" spans="2:15" x14ac:dyDescent="0.25">
      <c r="B51" s="201" t="s">
        <v>17</v>
      </c>
      <c r="C51" s="201"/>
      <c r="D51" s="201"/>
      <c r="I51" s="58"/>
      <c r="J51" s="58"/>
    </row>
    <row r="52" spans="2:15" ht="15.75" x14ac:dyDescent="0.25">
      <c r="B52" s="188" t="s">
        <v>4</v>
      </c>
      <c r="C52" s="202" t="s">
        <v>23</v>
      </c>
      <c r="D52" s="188" t="s">
        <v>6</v>
      </c>
      <c r="E52" s="188" t="s">
        <v>7</v>
      </c>
      <c r="F52" s="188" t="s">
        <v>8</v>
      </c>
      <c r="G52" s="188" t="s">
        <v>9</v>
      </c>
      <c r="H52" s="188" t="s">
        <v>10</v>
      </c>
      <c r="I52" s="202" t="s">
        <v>24</v>
      </c>
      <c r="J52" s="169" t="s">
        <v>12</v>
      </c>
      <c r="K52" s="170"/>
      <c r="L52" s="170"/>
      <c r="M52" s="170"/>
      <c r="N52" s="171"/>
      <c r="O52" s="204" t="s">
        <v>13</v>
      </c>
    </row>
    <row r="53" spans="2:15" ht="15.75" x14ac:dyDescent="0.25">
      <c r="B53" s="189"/>
      <c r="C53" s="203"/>
      <c r="D53" s="189"/>
      <c r="E53" s="189"/>
      <c r="F53" s="189"/>
      <c r="G53" s="189"/>
      <c r="H53" s="189"/>
      <c r="I53" s="203"/>
      <c r="J53" s="164" t="s">
        <v>14</v>
      </c>
      <c r="K53" s="165"/>
      <c r="L53" s="166" t="s">
        <v>15</v>
      </c>
      <c r="M53" s="167"/>
      <c r="N53" s="4" t="s">
        <v>16</v>
      </c>
      <c r="O53" s="205"/>
    </row>
    <row r="54" spans="2:15" ht="15.75" x14ac:dyDescent="0.25">
      <c r="B54" s="5"/>
      <c r="C54" s="61"/>
      <c r="D54" s="5"/>
      <c r="E54" s="5"/>
      <c r="F54" s="5"/>
      <c r="G54" s="5"/>
      <c r="H54" s="5"/>
      <c r="I54" s="61"/>
      <c r="J54" s="62" t="s">
        <v>17</v>
      </c>
      <c r="K54" s="6" t="s">
        <v>18</v>
      </c>
      <c r="L54" s="10" t="s">
        <v>17</v>
      </c>
      <c r="M54" s="10" t="s">
        <v>18</v>
      </c>
      <c r="N54" s="4"/>
      <c r="O54" s="7"/>
    </row>
    <row r="55" spans="2:15" ht="15" customHeight="1" x14ac:dyDescent="0.25">
      <c r="B55" s="63">
        <v>1</v>
      </c>
      <c r="C55" s="43" t="s">
        <v>330</v>
      </c>
      <c r="D55" s="71" t="s">
        <v>1096</v>
      </c>
      <c r="E55" s="71" t="s">
        <v>1035</v>
      </c>
      <c r="F55" s="70" t="s">
        <v>259</v>
      </c>
      <c r="G55" s="66">
        <v>46186</v>
      </c>
      <c r="H55" s="72"/>
      <c r="I55" s="22">
        <v>971100</v>
      </c>
      <c r="J55" s="37">
        <f t="shared" ref="J55:J57" si="6">I55</f>
        <v>971100</v>
      </c>
      <c r="K55" s="68"/>
      <c r="L55" s="24"/>
      <c r="M55" s="69"/>
      <c r="N55" s="22" t="s">
        <v>155</v>
      </c>
      <c r="O55" s="70"/>
    </row>
    <row r="56" spans="2:15" ht="15" customHeight="1" x14ac:dyDescent="0.25">
      <c r="B56" s="63">
        <v>2</v>
      </c>
      <c r="C56" s="43" t="s">
        <v>330</v>
      </c>
      <c r="D56" s="71" t="s">
        <v>1097</v>
      </c>
      <c r="E56" s="71" t="s">
        <v>1098</v>
      </c>
      <c r="F56" s="70" t="s">
        <v>1099</v>
      </c>
      <c r="G56" s="66">
        <v>46186</v>
      </c>
      <c r="H56" s="72"/>
      <c r="I56" s="22">
        <v>1045500</v>
      </c>
      <c r="J56" s="37">
        <f t="shared" si="6"/>
        <v>1045500</v>
      </c>
      <c r="K56" s="68"/>
      <c r="L56" s="24"/>
      <c r="M56" s="69"/>
      <c r="N56" s="22" t="s">
        <v>155</v>
      </c>
      <c r="O56" s="70"/>
    </row>
    <row r="57" spans="2:15" ht="15" customHeight="1" x14ac:dyDescent="0.25">
      <c r="B57" s="63">
        <v>3</v>
      </c>
      <c r="C57" s="43" t="s">
        <v>330</v>
      </c>
      <c r="D57" s="71" t="s">
        <v>1100</v>
      </c>
      <c r="E57" s="71" t="s">
        <v>1101</v>
      </c>
      <c r="F57" s="70" t="s">
        <v>1099</v>
      </c>
      <c r="G57" s="66">
        <v>46186</v>
      </c>
      <c r="H57" s="72"/>
      <c r="I57" s="22">
        <v>1272700</v>
      </c>
      <c r="J57" s="37">
        <f t="shared" si="6"/>
        <v>1272700</v>
      </c>
      <c r="K57" s="68"/>
      <c r="L57" s="24"/>
      <c r="M57" s="69"/>
      <c r="N57" s="22" t="s">
        <v>155</v>
      </c>
      <c r="O57" s="70"/>
    </row>
    <row r="58" spans="2:15" ht="15" customHeight="1" x14ac:dyDescent="0.25">
      <c r="B58" s="63">
        <v>4</v>
      </c>
      <c r="C58" s="43" t="s">
        <v>330</v>
      </c>
      <c r="D58" s="71" t="s">
        <v>1102</v>
      </c>
      <c r="E58" s="71" t="s">
        <v>1103</v>
      </c>
      <c r="F58" s="70" t="s">
        <v>641</v>
      </c>
      <c r="G58" s="66">
        <v>46186</v>
      </c>
      <c r="H58" s="72"/>
      <c r="I58" s="22">
        <v>328700</v>
      </c>
      <c r="J58" s="37">
        <f>I58</f>
        <v>328700</v>
      </c>
      <c r="K58" s="68"/>
      <c r="L58" s="24"/>
      <c r="M58" s="69"/>
      <c r="N58" s="22" t="s">
        <v>155</v>
      </c>
      <c r="O58" s="70"/>
    </row>
    <row r="59" spans="2:15" ht="15" customHeight="1" x14ac:dyDescent="0.25">
      <c r="B59" s="63">
        <v>5</v>
      </c>
      <c r="C59" s="43" t="s">
        <v>330</v>
      </c>
      <c r="D59" s="71" t="s">
        <v>1104</v>
      </c>
      <c r="E59" s="71" t="s">
        <v>1103</v>
      </c>
      <c r="F59" s="70" t="s">
        <v>641</v>
      </c>
      <c r="G59" s="66">
        <v>46186</v>
      </c>
      <c r="H59" s="72"/>
      <c r="I59" s="22">
        <v>278080</v>
      </c>
      <c r="J59" s="37"/>
      <c r="K59" s="68"/>
      <c r="L59" s="24">
        <f>I59</f>
        <v>278080</v>
      </c>
      <c r="M59" s="69"/>
      <c r="N59" s="22" t="s">
        <v>155</v>
      </c>
      <c r="O59" s="70"/>
    </row>
    <row r="60" spans="2:15" ht="15" customHeight="1" x14ac:dyDescent="0.25">
      <c r="B60" s="63">
        <v>6</v>
      </c>
      <c r="C60" s="43" t="s">
        <v>440</v>
      </c>
      <c r="D60" s="71" t="s">
        <v>1107</v>
      </c>
      <c r="E60" s="71" t="s">
        <v>1108</v>
      </c>
      <c r="F60" s="70" t="s">
        <v>972</v>
      </c>
      <c r="G60" s="66">
        <v>46186</v>
      </c>
      <c r="H60" s="72"/>
      <c r="I60" s="22">
        <v>138000</v>
      </c>
      <c r="J60" s="37"/>
      <c r="K60" s="68"/>
      <c r="L60" s="24">
        <f>I60</f>
        <v>138000</v>
      </c>
      <c r="M60" s="69"/>
      <c r="N60" s="22" t="s">
        <v>155</v>
      </c>
      <c r="O60" s="70"/>
    </row>
    <row r="61" spans="2:15" ht="15.75" x14ac:dyDescent="0.25">
      <c r="B61" s="169" t="s">
        <v>25</v>
      </c>
      <c r="C61" s="170"/>
      <c r="D61" s="170"/>
      <c r="E61" s="170"/>
      <c r="F61" s="170"/>
      <c r="G61" s="170"/>
      <c r="H61" s="170"/>
      <c r="I61" s="171"/>
      <c r="J61" s="25">
        <f>SUM(J55:J60)</f>
        <v>3618000</v>
      </c>
      <c r="K61" s="74">
        <f>SUM(K55:K60)</f>
        <v>0</v>
      </c>
      <c r="L61" s="60">
        <f>SUM(L55:L60)</f>
        <v>416080</v>
      </c>
      <c r="M61" s="60">
        <f>SUM(M55:M60)</f>
        <v>0</v>
      </c>
      <c r="N61" s="39"/>
      <c r="O61" s="75">
        <f>SUM(J61+K61+L61+M61)</f>
        <v>4034080</v>
      </c>
    </row>
    <row r="62" spans="2:15" ht="15.75" x14ac:dyDescent="0.25">
      <c r="B62" s="172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</row>
    <row r="63" spans="2:15" x14ac:dyDescent="0.25">
      <c r="B63" s="44">
        <v>1</v>
      </c>
      <c r="C63" s="12" t="s">
        <v>154</v>
      </c>
      <c r="D63" s="71" t="s">
        <v>1088</v>
      </c>
      <c r="E63" s="71" t="s">
        <v>1007</v>
      </c>
      <c r="F63" s="70" t="s">
        <v>1008</v>
      </c>
      <c r="G63" s="66">
        <v>46186</v>
      </c>
      <c r="H63" s="72"/>
      <c r="I63" s="22">
        <v>1063000</v>
      </c>
      <c r="J63" s="73">
        <f t="shared" ref="J63:J64" si="7">I63</f>
        <v>1063000</v>
      </c>
      <c r="K63" s="68"/>
      <c r="L63" s="69"/>
      <c r="M63" s="69"/>
      <c r="N63" s="22" t="s">
        <v>155</v>
      </c>
      <c r="O63" s="70"/>
    </row>
    <row r="64" spans="2:15" x14ac:dyDescent="0.25">
      <c r="B64" s="44">
        <v>2</v>
      </c>
      <c r="C64" s="12" t="s">
        <v>154</v>
      </c>
      <c r="D64" s="71" t="s">
        <v>1089</v>
      </c>
      <c r="E64" s="71" t="s">
        <v>1090</v>
      </c>
      <c r="F64" s="70" t="s">
        <v>1091</v>
      </c>
      <c r="G64" s="66">
        <v>46186</v>
      </c>
      <c r="H64" s="72"/>
      <c r="I64" s="22">
        <v>328700</v>
      </c>
      <c r="J64" s="73">
        <f t="shared" si="7"/>
        <v>328700</v>
      </c>
      <c r="K64" s="68"/>
      <c r="L64" s="24"/>
      <c r="M64" s="24"/>
      <c r="N64" s="22" t="s">
        <v>155</v>
      </c>
      <c r="O64" s="70"/>
    </row>
    <row r="65" spans="1:15" x14ac:dyDescent="0.25">
      <c r="B65" s="44">
        <v>3</v>
      </c>
      <c r="C65" s="12" t="s">
        <v>154</v>
      </c>
      <c r="D65" s="71" t="s">
        <v>1092</v>
      </c>
      <c r="E65" s="71" t="s">
        <v>1093</v>
      </c>
      <c r="F65" s="70" t="s">
        <v>1094</v>
      </c>
      <c r="G65" s="66">
        <v>46186</v>
      </c>
      <c r="H65" s="72"/>
      <c r="I65" s="22">
        <v>430200</v>
      </c>
      <c r="J65" s="73"/>
      <c r="K65" s="68">
        <v>430200</v>
      </c>
      <c r="L65" s="69"/>
      <c r="M65" s="69"/>
      <c r="N65" s="22" t="s">
        <v>155</v>
      </c>
      <c r="O65" s="70"/>
    </row>
    <row r="66" spans="1:15" x14ac:dyDescent="0.25">
      <c r="B66" s="44">
        <v>4</v>
      </c>
      <c r="C66" s="12" t="s">
        <v>154</v>
      </c>
      <c r="D66" s="71" t="s">
        <v>1095</v>
      </c>
      <c r="E66" s="71" t="s">
        <v>1093</v>
      </c>
      <c r="F66" s="70" t="s">
        <v>1094</v>
      </c>
      <c r="G66" s="66">
        <v>46186</v>
      </c>
      <c r="H66" s="72"/>
      <c r="I66" s="22">
        <v>2262384</v>
      </c>
      <c r="J66" s="73"/>
      <c r="K66" s="68"/>
      <c r="L66" s="24"/>
      <c r="M66" s="160">
        <v>2262384</v>
      </c>
      <c r="N66" s="22" t="s">
        <v>155</v>
      </c>
      <c r="O66" s="70"/>
    </row>
    <row r="67" spans="1:15" ht="15.75" x14ac:dyDescent="0.25">
      <c r="A67" t="s">
        <v>3</v>
      </c>
      <c r="B67" s="169" t="s">
        <v>25</v>
      </c>
      <c r="C67" s="170"/>
      <c r="D67" s="170"/>
      <c r="E67" s="170"/>
      <c r="F67" s="170"/>
      <c r="G67" s="170"/>
      <c r="H67" s="170"/>
      <c r="I67" s="171"/>
      <c r="J67" s="76">
        <f>SUM(J63:J66)</f>
        <v>1391700</v>
      </c>
      <c r="K67" s="74">
        <f>SUM(K63:K66)</f>
        <v>430200</v>
      </c>
      <c r="L67" s="60">
        <f>SUM(L63:L66)</f>
        <v>0</v>
      </c>
      <c r="M67" s="60">
        <f>SUM(M63:M66)</f>
        <v>2262384</v>
      </c>
      <c r="N67" s="39"/>
      <c r="O67" s="75">
        <f>SUM(J67+K67+L67+M67)</f>
        <v>4084284</v>
      </c>
    </row>
    <row r="68" spans="1:15" x14ac:dyDescent="0.25">
      <c r="D68" s="57"/>
      <c r="I68" s="58"/>
      <c r="J68" s="58"/>
    </row>
    <row r="69" spans="1:15" ht="15.75" x14ac:dyDescent="0.25">
      <c r="D69" s="57"/>
      <c r="G69" s="162" t="s">
        <v>1646</v>
      </c>
      <c r="H69" s="162"/>
      <c r="I69" s="163"/>
      <c r="J69" s="25">
        <f>SUM(J67+J61)</f>
        <v>5009700</v>
      </c>
      <c r="K69" s="74">
        <f>SUM(K67+K61)</f>
        <v>430200</v>
      </c>
      <c r="L69" s="60">
        <f>SUM(L67+L61)</f>
        <v>416080</v>
      </c>
      <c r="M69" s="60">
        <f>SUM(M67+M61)</f>
        <v>2262384</v>
      </c>
      <c r="N69" s="39"/>
      <c r="O69" s="77">
        <f>SUM(J69+K69+L69+M69)</f>
        <v>8118364</v>
      </c>
    </row>
    <row r="70" spans="1:15" ht="15.75" x14ac:dyDescent="0.25">
      <c r="D70" s="57"/>
      <c r="H70" s="41"/>
      <c r="I70" s="41"/>
      <c r="J70" s="41"/>
      <c r="K70" s="78"/>
      <c r="L70" s="78"/>
      <c r="M70" s="78"/>
      <c r="N70" s="79"/>
      <c r="O70" s="80"/>
    </row>
    <row r="71" spans="1:15" ht="15.75" x14ac:dyDescent="0.25">
      <c r="D71" s="57"/>
      <c r="H71" s="174" t="s">
        <v>27</v>
      </c>
      <c r="I71" s="175"/>
      <c r="J71" s="180" t="s">
        <v>14</v>
      </c>
      <c r="K71" s="180"/>
      <c r="L71" s="181" t="s">
        <v>15</v>
      </c>
      <c r="M71" s="181"/>
      <c r="N71" s="70"/>
      <c r="O71" s="182"/>
    </row>
    <row r="72" spans="1:15" ht="15.75" x14ac:dyDescent="0.25">
      <c r="D72" s="57"/>
      <c r="H72" s="176"/>
      <c r="I72" s="177"/>
      <c r="J72" s="6" t="s">
        <v>17</v>
      </c>
      <c r="K72" s="81" t="s">
        <v>18</v>
      </c>
      <c r="L72" s="82" t="s">
        <v>17</v>
      </c>
      <c r="M72" s="82" t="s">
        <v>18</v>
      </c>
      <c r="N72" s="70"/>
      <c r="O72" s="182"/>
    </row>
    <row r="73" spans="1:15" ht="15.75" x14ac:dyDescent="0.25">
      <c r="D73" s="57"/>
      <c r="H73" s="178"/>
      <c r="I73" s="179"/>
      <c r="J73" s="74">
        <f>SUM(J49,J69)</f>
        <v>21633600</v>
      </c>
      <c r="K73" s="74">
        <f>SUM(K69+K49)</f>
        <v>2581200</v>
      </c>
      <c r="L73" s="60">
        <f>SUM(L69+L49)</f>
        <v>3176978</v>
      </c>
      <c r="M73" s="60">
        <f>SUM(M69+M49)</f>
        <v>2545380</v>
      </c>
      <c r="N73" s="39"/>
      <c r="O73" s="182"/>
    </row>
    <row r="74" spans="1:15" x14ac:dyDescent="0.25">
      <c r="D74" s="57"/>
      <c r="I74" s="58"/>
      <c r="J74" s="58"/>
    </row>
    <row r="75" spans="1:15" ht="18.75" x14ac:dyDescent="0.3">
      <c r="D75" s="57"/>
      <c r="H75" s="183"/>
      <c r="I75" s="183"/>
      <c r="J75" s="83"/>
      <c r="L75" s="184" t="s">
        <v>28</v>
      </c>
      <c r="M75" s="185"/>
      <c r="N75" s="84">
        <f>SUM(J73+L73)</f>
        <v>24810578</v>
      </c>
      <c r="O75" s="186">
        <f>SUM(N75+N76)</f>
        <v>29937158</v>
      </c>
    </row>
    <row r="76" spans="1:15" ht="18.75" x14ac:dyDescent="0.3">
      <c r="D76" s="57"/>
      <c r="H76" s="183"/>
      <c r="I76" s="183"/>
      <c r="J76" s="83"/>
      <c r="L76" s="184" t="s">
        <v>29</v>
      </c>
      <c r="M76" s="185"/>
      <c r="N76" s="84">
        <f>SUM(K73+M73)</f>
        <v>5126580</v>
      </c>
      <c r="O76" s="187"/>
    </row>
    <row r="77" spans="1:15" ht="18.75" x14ac:dyDescent="0.3">
      <c r="D77" s="57"/>
      <c r="H77" s="168"/>
      <c r="I77" s="168"/>
      <c r="J77" s="85"/>
      <c r="K77" s="86"/>
    </row>
    <row r="78" spans="1:15" x14ac:dyDescent="0.25">
      <c r="D78" s="2" t="s">
        <v>30</v>
      </c>
      <c r="E78" s="1"/>
      <c r="F78" s="1"/>
      <c r="G78" s="1"/>
      <c r="H78" s="1"/>
      <c r="I78" s="1"/>
      <c r="J78" s="1"/>
      <c r="K78" s="1"/>
    </row>
    <row r="79" spans="1:15" x14ac:dyDescent="0.25">
      <c r="D79" s="2"/>
      <c r="E79" s="1"/>
      <c r="F79" s="1"/>
      <c r="G79" s="1"/>
      <c r="H79" s="1"/>
      <c r="I79" s="1"/>
      <c r="J79" s="1"/>
      <c r="K79" s="1"/>
    </row>
    <row r="80" spans="1:15" x14ac:dyDescent="0.25">
      <c r="D80" s="3" t="s">
        <v>31</v>
      </c>
      <c r="E80" s="3"/>
      <c r="F80" s="3" t="s">
        <v>32</v>
      </c>
      <c r="G80" s="3"/>
      <c r="H80" s="3" t="s">
        <v>33</v>
      </c>
      <c r="I80" s="3"/>
      <c r="J80" s="3" t="s">
        <v>34</v>
      </c>
      <c r="K80" s="3"/>
    </row>
    <row r="81" spans="4:11" x14ac:dyDescent="0.25">
      <c r="D81" s="3"/>
      <c r="E81" s="3"/>
      <c r="F81" s="3"/>
      <c r="G81" s="3"/>
      <c r="H81" s="3"/>
      <c r="I81" s="3"/>
      <c r="J81" s="3"/>
      <c r="K81" s="3"/>
    </row>
    <row r="82" spans="4:11" x14ac:dyDescent="0.25">
      <c r="D82" s="3"/>
      <c r="E82" s="3"/>
      <c r="F82" s="3"/>
      <c r="G82" s="3"/>
      <c r="H82" s="3"/>
      <c r="I82" s="3"/>
      <c r="J82" s="3"/>
      <c r="K82" s="3"/>
    </row>
    <row r="83" spans="4:11" x14ac:dyDescent="0.25">
      <c r="D83" s="3"/>
      <c r="E83" s="3"/>
      <c r="F83" s="3"/>
      <c r="G83" s="3"/>
      <c r="H83" s="3"/>
      <c r="I83" s="3"/>
      <c r="J83" s="3"/>
      <c r="K83" s="3"/>
    </row>
    <row r="84" spans="4:11" x14ac:dyDescent="0.25">
      <c r="D84" s="3" t="s">
        <v>35</v>
      </c>
      <c r="E84" s="3"/>
      <c r="F84" s="3" t="s">
        <v>36</v>
      </c>
      <c r="G84" s="3"/>
      <c r="H84" s="3" t="s">
        <v>36</v>
      </c>
      <c r="I84" s="3"/>
      <c r="J84" s="3" t="s">
        <v>37</v>
      </c>
      <c r="K84" s="3"/>
    </row>
    <row r="85" spans="4:11" x14ac:dyDescent="0.25">
      <c r="D85" s="57"/>
    </row>
    <row r="86" spans="4:11" x14ac:dyDescent="0.25">
      <c r="D86" s="57"/>
    </row>
    <row r="87" spans="4:11" x14ac:dyDescent="0.25">
      <c r="D87" s="57"/>
    </row>
    <row r="88" spans="4:11" x14ac:dyDescent="0.25">
      <c r="D88" s="57"/>
    </row>
    <row r="89" spans="4:11" x14ac:dyDescent="0.25">
      <c r="D89" s="57"/>
    </row>
  </sheetData>
  <mergeCells count="48">
    <mergeCell ref="B16:I1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2:G53"/>
    <mergeCell ref="B17:O17"/>
    <mergeCell ref="B30:I30"/>
    <mergeCell ref="B31:O31"/>
    <mergeCell ref="B46:I46"/>
    <mergeCell ref="G49:I49"/>
    <mergeCell ref="B51:D51"/>
    <mergeCell ref="B52:B53"/>
    <mergeCell ref="C52:C53"/>
    <mergeCell ref="D52:D53"/>
    <mergeCell ref="E52:E53"/>
    <mergeCell ref="F52:F53"/>
    <mergeCell ref="H52:H53"/>
    <mergeCell ref="I52:I53"/>
    <mergeCell ref="J52:N52"/>
    <mergeCell ref="O52:O53"/>
    <mergeCell ref="G69:I69"/>
    <mergeCell ref="J53:K53"/>
    <mergeCell ref="L53:M53"/>
    <mergeCell ref="H77:I77"/>
    <mergeCell ref="B61:I61"/>
    <mergeCell ref="B62:O62"/>
    <mergeCell ref="B67:I67"/>
    <mergeCell ref="H71:I73"/>
    <mergeCell ref="J71:K71"/>
    <mergeCell ref="L71:M71"/>
    <mergeCell ref="O71:O73"/>
    <mergeCell ref="H75:I75"/>
    <mergeCell ref="L75:M75"/>
    <mergeCell ref="O75:O76"/>
    <mergeCell ref="H76:I76"/>
    <mergeCell ref="L76:M76"/>
  </mergeCells>
  <pageMargins left="0" right="0" top="0" bottom="0" header="0" footer="0"/>
  <pageSetup paperSize="9" scale="65" orientation="landscape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15D-E5A7-4AE0-8D4F-7CA492A4A3CC}">
  <dimension ref="A2:Q107"/>
  <sheetViews>
    <sheetView topLeftCell="D76" workbookViewId="0">
      <selection activeCell="G87" sqref="G87:I87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1105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ht="15.75" x14ac:dyDescent="0.25">
      <c r="B9" s="161">
        <v>1</v>
      </c>
      <c r="C9" s="12" t="s">
        <v>19</v>
      </c>
      <c r="D9" s="13" t="s">
        <v>53</v>
      </c>
      <c r="E9" s="14" t="s">
        <v>54</v>
      </c>
      <c r="F9" s="15" t="s">
        <v>55</v>
      </c>
      <c r="G9" s="16">
        <v>46161</v>
      </c>
      <c r="H9" s="16">
        <v>46174</v>
      </c>
      <c r="I9" s="17">
        <v>230200</v>
      </c>
      <c r="J9" s="18">
        <f>I9</f>
        <v>230200</v>
      </c>
      <c r="K9" s="19"/>
      <c r="L9" s="20"/>
      <c r="M9" s="20"/>
      <c r="N9" s="21" t="s">
        <v>155</v>
      </c>
      <c r="O9" s="22"/>
    </row>
    <row r="10" spans="2:17" ht="15.75" x14ac:dyDescent="0.25">
      <c r="B10" s="161">
        <v>2</v>
      </c>
      <c r="C10" s="12"/>
      <c r="D10" s="13" t="s">
        <v>1110</v>
      </c>
      <c r="E10" s="14" t="s">
        <v>64</v>
      </c>
      <c r="F10" s="15" t="s">
        <v>65</v>
      </c>
      <c r="G10" s="16">
        <v>46175</v>
      </c>
      <c r="H10" s="16">
        <v>46188</v>
      </c>
      <c r="I10" s="17">
        <v>215100</v>
      </c>
      <c r="J10" s="18">
        <f t="shared" ref="J10:J18" si="0">I10</f>
        <v>215100</v>
      </c>
      <c r="K10" s="19"/>
      <c r="L10" s="20"/>
      <c r="M10" s="20"/>
      <c r="N10" s="21" t="s">
        <v>155</v>
      </c>
      <c r="O10" s="22"/>
    </row>
    <row r="11" spans="2:17" ht="15.75" x14ac:dyDescent="0.25">
      <c r="B11" s="161">
        <v>3</v>
      </c>
      <c r="C11" s="12"/>
      <c r="D11" s="13" t="s">
        <v>1111</v>
      </c>
      <c r="E11" s="14" t="s">
        <v>57</v>
      </c>
      <c r="F11" s="15" t="s">
        <v>52</v>
      </c>
      <c r="G11" s="16">
        <v>46175</v>
      </c>
      <c r="H11" s="16">
        <v>46188</v>
      </c>
      <c r="I11" s="17">
        <v>215100</v>
      </c>
      <c r="J11" s="18">
        <f t="shared" si="0"/>
        <v>215100</v>
      </c>
      <c r="K11" s="19"/>
      <c r="L11" s="20"/>
      <c r="M11" s="20"/>
      <c r="N11" s="21" t="s">
        <v>155</v>
      </c>
      <c r="O11" s="22"/>
    </row>
    <row r="12" spans="2:17" ht="15.75" x14ac:dyDescent="0.25">
      <c r="B12" s="161">
        <v>4</v>
      </c>
      <c r="C12" s="12"/>
      <c r="D12" s="13" t="s">
        <v>1112</v>
      </c>
      <c r="E12" s="14" t="s">
        <v>51</v>
      </c>
      <c r="F12" s="15" t="s">
        <v>52</v>
      </c>
      <c r="G12" s="16">
        <v>46175</v>
      </c>
      <c r="H12" s="16">
        <v>46188</v>
      </c>
      <c r="I12" s="17">
        <v>430200</v>
      </c>
      <c r="J12" s="18">
        <f t="shared" si="0"/>
        <v>430200</v>
      </c>
      <c r="K12" s="19"/>
      <c r="L12" s="20"/>
      <c r="M12" s="20"/>
      <c r="N12" s="21" t="s">
        <v>155</v>
      </c>
      <c r="O12" s="22"/>
    </row>
    <row r="13" spans="2:17" ht="15.75" x14ac:dyDescent="0.25">
      <c r="B13" s="161">
        <v>6</v>
      </c>
      <c r="C13" s="12"/>
      <c r="D13" s="13" t="s">
        <v>1114</v>
      </c>
      <c r="E13" s="14" t="s">
        <v>46</v>
      </c>
      <c r="F13" s="15" t="s">
        <v>47</v>
      </c>
      <c r="G13" s="16">
        <v>46175</v>
      </c>
      <c r="H13" s="16">
        <v>46188</v>
      </c>
      <c r="I13" s="17">
        <v>227200</v>
      </c>
      <c r="J13" s="18">
        <f t="shared" si="0"/>
        <v>227200</v>
      </c>
      <c r="K13" s="19"/>
      <c r="L13" s="20"/>
      <c r="M13" s="20"/>
      <c r="N13" s="21" t="s">
        <v>155</v>
      </c>
      <c r="O13" s="22"/>
    </row>
    <row r="14" spans="2:17" ht="15.75" x14ac:dyDescent="0.25">
      <c r="B14" s="161">
        <v>7</v>
      </c>
      <c r="C14" s="12"/>
      <c r="D14" s="13" t="s">
        <v>1115</v>
      </c>
      <c r="E14" s="14" t="s">
        <v>49</v>
      </c>
      <c r="F14" s="15" t="s">
        <v>44</v>
      </c>
      <c r="G14" s="16">
        <v>46175</v>
      </c>
      <c r="H14" s="16">
        <v>46188</v>
      </c>
      <c r="I14" s="17">
        <v>543800</v>
      </c>
      <c r="J14" s="18">
        <f t="shared" si="0"/>
        <v>543800</v>
      </c>
      <c r="K14" s="19"/>
      <c r="L14" s="20"/>
      <c r="M14" s="20"/>
      <c r="N14" s="21" t="s">
        <v>155</v>
      </c>
      <c r="O14" s="22"/>
    </row>
    <row r="15" spans="2:17" ht="15.75" x14ac:dyDescent="0.25">
      <c r="B15" s="161">
        <v>8</v>
      </c>
      <c r="C15" s="12"/>
      <c r="D15" s="13" t="s">
        <v>1116</v>
      </c>
      <c r="E15" s="14" t="s">
        <v>59</v>
      </c>
      <c r="F15" s="15" t="s">
        <v>60</v>
      </c>
      <c r="G15" s="16">
        <v>46175</v>
      </c>
      <c r="H15" s="16">
        <v>46188</v>
      </c>
      <c r="I15" s="17">
        <v>430200</v>
      </c>
      <c r="J15" s="18">
        <f t="shared" si="0"/>
        <v>430200</v>
      </c>
      <c r="K15" s="19"/>
      <c r="L15" s="20"/>
      <c r="M15" s="20"/>
      <c r="N15" s="21" t="s">
        <v>155</v>
      </c>
      <c r="O15" s="22"/>
    </row>
    <row r="16" spans="2:17" ht="15.75" x14ac:dyDescent="0.25">
      <c r="B16" s="161">
        <v>9</v>
      </c>
      <c r="C16" s="12"/>
      <c r="D16" s="13" t="s">
        <v>1117</v>
      </c>
      <c r="E16" s="14" t="s">
        <v>1035</v>
      </c>
      <c r="F16" s="15" t="s">
        <v>259</v>
      </c>
      <c r="G16" s="16">
        <v>46175</v>
      </c>
      <c r="H16" s="16">
        <v>46188</v>
      </c>
      <c r="I16" s="17">
        <v>568000</v>
      </c>
      <c r="J16" s="18">
        <v>364400</v>
      </c>
      <c r="K16" s="19"/>
      <c r="L16" s="20"/>
      <c r="M16" s="20"/>
      <c r="N16" s="21" t="s">
        <v>158</v>
      </c>
      <c r="O16" s="22"/>
    </row>
    <row r="17" spans="2:15" ht="15.75" x14ac:dyDescent="0.25">
      <c r="B17" s="161">
        <v>10</v>
      </c>
      <c r="C17" s="12"/>
      <c r="D17" s="13" t="s">
        <v>1022</v>
      </c>
      <c r="E17" s="14" t="s">
        <v>621</v>
      </c>
      <c r="F17" s="15" t="s">
        <v>1118</v>
      </c>
      <c r="G17" s="16">
        <v>46157</v>
      </c>
      <c r="H17" s="16">
        <v>46170</v>
      </c>
      <c r="I17" s="17">
        <v>180200</v>
      </c>
      <c r="J17" s="18">
        <f t="shared" si="0"/>
        <v>180200</v>
      </c>
      <c r="K17" s="19"/>
      <c r="L17" s="20"/>
      <c r="M17" s="20"/>
      <c r="N17" s="21" t="s">
        <v>155</v>
      </c>
      <c r="O17" s="22"/>
    </row>
    <row r="18" spans="2:15" ht="15.75" x14ac:dyDescent="0.25">
      <c r="B18" s="161">
        <v>11</v>
      </c>
      <c r="C18" s="12"/>
      <c r="D18" s="13" t="s">
        <v>1119</v>
      </c>
      <c r="E18" s="14" t="s">
        <v>1120</v>
      </c>
      <c r="F18" s="15" t="s">
        <v>1121</v>
      </c>
      <c r="G18" s="16">
        <v>46174</v>
      </c>
      <c r="H18" s="16">
        <v>46186</v>
      </c>
      <c r="I18" s="23">
        <v>215100</v>
      </c>
      <c r="J18" s="18">
        <f t="shared" si="0"/>
        <v>215100</v>
      </c>
      <c r="K18" s="19"/>
      <c r="L18" s="24"/>
      <c r="M18" s="24"/>
      <c r="N18" s="21" t="s">
        <v>155</v>
      </c>
      <c r="O18" s="22"/>
    </row>
    <row r="19" spans="2:15" ht="15.75" x14ac:dyDescent="0.25">
      <c r="B19" s="161">
        <v>12</v>
      </c>
      <c r="C19" s="12"/>
      <c r="D19" s="13" t="s">
        <v>42</v>
      </c>
      <c r="E19" s="14" t="s">
        <v>43</v>
      </c>
      <c r="F19" s="15" t="s">
        <v>44</v>
      </c>
      <c r="G19" s="16">
        <v>46147</v>
      </c>
      <c r="H19" s="16">
        <v>46160</v>
      </c>
      <c r="I19" s="23">
        <v>132300</v>
      </c>
      <c r="J19" s="18"/>
      <c r="K19" s="19"/>
      <c r="L19" s="24">
        <f>I19</f>
        <v>132300</v>
      </c>
      <c r="M19" s="24"/>
      <c r="N19" s="21" t="s">
        <v>155</v>
      </c>
      <c r="O19" s="22"/>
    </row>
    <row r="20" spans="2:15" ht="15.75" x14ac:dyDescent="0.25">
      <c r="B20" s="161">
        <v>13</v>
      </c>
      <c r="C20" s="12"/>
      <c r="D20" s="13" t="s">
        <v>1122</v>
      </c>
      <c r="E20" s="14" t="s">
        <v>621</v>
      </c>
      <c r="F20" s="15" t="s">
        <v>1023</v>
      </c>
      <c r="G20" s="16">
        <v>46157</v>
      </c>
      <c r="H20" s="16">
        <v>46170</v>
      </c>
      <c r="I20" s="23">
        <v>34278</v>
      </c>
      <c r="J20" s="18"/>
      <c r="K20" s="19"/>
      <c r="L20" s="24">
        <f t="shared" ref="L20:L25" si="1">I20</f>
        <v>34278</v>
      </c>
      <c r="M20" s="24"/>
      <c r="N20" s="21" t="s">
        <v>155</v>
      </c>
      <c r="O20" s="22"/>
    </row>
    <row r="21" spans="2:15" ht="15.75" x14ac:dyDescent="0.25">
      <c r="B21" s="161">
        <v>15</v>
      </c>
      <c r="C21" s="12"/>
      <c r="D21" s="13" t="s">
        <v>1123</v>
      </c>
      <c r="E21" s="14" t="s">
        <v>43</v>
      </c>
      <c r="F21" s="15" t="s">
        <v>44</v>
      </c>
      <c r="G21" s="16">
        <v>46147</v>
      </c>
      <c r="H21" s="16">
        <v>46160</v>
      </c>
      <c r="I21" s="23">
        <v>118000</v>
      </c>
      <c r="J21" s="18"/>
      <c r="K21" s="19"/>
      <c r="L21" s="24">
        <f t="shared" si="1"/>
        <v>118000</v>
      </c>
      <c r="M21" s="24"/>
      <c r="N21" s="21" t="s">
        <v>155</v>
      </c>
      <c r="O21" s="22"/>
    </row>
    <row r="22" spans="2:15" ht="15.75" x14ac:dyDescent="0.25">
      <c r="B22" s="161">
        <v>16</v>
      </c>
      <c r="C22" s="12"/>
      <c r="D22" s="13" t="s">
        <v>1124</v>
      </c>
      <c r="E22" s="14" t="s">
        <v>1125</v>
      </c>
      <c r="F22" s="15" t="s">
        <v>1113</v>
      </c>
      <c r="G22" s="16">
        <v>46164</v>
      </c>
      <c r="H22" s="16">
        <v>46177</v>
      </c>
      <c r="I22" s="23">
        <v>783000</v>
      </c>
      <c r="J22" s="18"/>
      <c r="K22" s="19"/>
      <c r="L22" s="24">
        <f t="shared" si="1"/>
        <v>783000</v>
      </c>
      <c r="M22" s="24"/>
      <c r="N22" s="21" t="s">
        <v>155</v>
      </c>
      <c r="O22" s="22"/>
    </row>
    <row r="23" spans="2:15" ht="15.75" x14ac:dyDescent="0.25">
      <c r="B23" s="161">
        <v>17</v>
      </c>
      <c r="C23" s="12"/>
      <c r="D23" s="13" t="s">
        <v>1126</v>
      </c>
      <c r="E23" s="14" t="s">
        <v>57</v>
      </c>
      <c r="F23" s="15" t="s">
        <v>52</v>
      </c>
      <c r="G23" s="16">
        <v>46175</v>
      </c>
      <c r="H23" s="16">
        <v>46188</v>
      </c>
      <c r="I23" s="23">
        <v>68556</v>
      </c>
      <c r="J23" s="18"/>
      <c r="K23" s="19"/>
      <c r="L23" s="24">
        <f t="shared" si="1"/>
        <v>68556</v>
      </c>
      <c r="M23" s="24"/>
      <c r="N23" s="21" t="s">
        <v>155</v>
      </c>
      <c r="O23" s="22"/>
    </row>
    <row r="24" spans="2:15" ht="15.75" x14ac:dyDescent="0.25">
      <c r="B24" s="161">
        <v>18</v>
      </c>
      <c r="C24" s="12"/>
      <c r="D24" s="13" t="s">
        <v>1127</v>
      </c>
      <c r="E24" s="14" t="s">
        <v>64</v>
      </c>
      <c r="F24" s="15" t="s">
        <v>65</v>
      </c>
      <c r="G24" s="16">
        <v>46175</v>
      </c>
      <c r="H24" s="16">
        <v>46188</v>
      </c>
      <c r="I24" s="23">
        <v>669840</v>
      </c>
      <c r="J24" s="18"/>
      <c r="K24" s="19"/>
      <c r="L24" s="24">
        <f t="shared" si="1"/>
        <v>669840</v>
      </c>
      <c r="M24" s="24"/>
      <c r="N24" s="21" t="s">
        <v>155</v>
      </c>
      <c r="O24" s="22"/>
    </row>
    <row r="25" spans="2:15" ht="15.75" x14ac:dyDescent="0.25">
      <c r="B25" s="161">
        <v>19</v>
      </c>
      <c r="C25" s="12"/>
      <c r="D25" s="13" t="s">
        <v>1128</v>
      </c>
      <c r="E25" s="14" t="s">
        <v>51</v>
      </c>
      <c r="F25" s="15" t="s">
        <v>52</v>
      </c>
      <c r="G25" s="16">
        <v>46175</v>
      </c>
      <c r="H25" s="16">
        <v>46188</v>
      </c>
      <c r="I25" s="23">
        <v>78000</v>
      </c>
      <c r="J25" s="18"/>
      <c r="K25" s="19"/>
      <c r="L25" s="24">
        <f t="shared" si="1"/>
        <v>78000</v>
      </c>
      <c r="M25" s="24"/>
      <c r="N25" s="21" t="s">
        <v>155</v>
      </c>
      <c r="O25" s="22"/>
    </row>
    <row r="26" spans="2:15" ht="15.75" x14ac:dyDescent="0.25">
      <c r="B26" s="169" t="s">
        <v>13</v>
      </c>
      <c r="C26" s="170"/>
      <c r="D26" s="170"/>
      <c r="E26" s="170"/>
      <c r="F26" s="170"/>
      <c r="G26" s="170"/>
      <c r="H26" s="170"/>
      <c r="I26" s="171"/>
      <c r="J26" s="25">
        <f>SUM(J9:J25)</f>
        <v>3051500</v>
      </c>
      <c r="K26" s="26">
        <f>SUM(K9:K25)</f>
        <v>0</v>
      </c>
      <c r="L26" s="27">
        <f>SUM(L9:L25)</f>
        <v>1883974</v>
      </c>
      <c r="M26" s="28">
        <f>SUM(M9:M25)</f>
        <v>0</v>
      </c>
      <c r="N26" s="29"/>
      <c r="O26" s="30">
        <f>SUM(J26+K26+L26+M26)</f>
        <v>4935474</v>
      </c>
    </row>
    <row r="27" spans="2:15" ht="15.75" x14ac:dyDescent="0.25">
      <c r="B27" s="190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</row>
    <row r="28" spans="2:15" ht="15.75" x14ac:dyDescent="0.25">
      <c r="B28" s="161">
        <v>1</v>
      </c>
      <c r="C28" s="31" t="s">
        <v>20</v>
      </c>
      <c r="D28" s="13" t="s">
        <v>1129</v>
      </c>
      <c r="E28" s="32" t="s">
        <v>77</v>
      </c>
      <c r="F28" s="33" t="s">
        <v>66</v>
      </c>
      <c r="G28" s="34">
        <v>46175</v>
      </c>
      <c r="H28" s="35">
        <v>46188</v>
      </c>
      <c r="I28" s="36">
        <v>215100</v>
      </c>
      <c r="J28" s="37">
        <f t="shared" ref="J28:J32" si="2">I28</f>
        <v>215100</v>
      </c>
      <c r="K28" s="19"/>
      <c r="L28" s="24"/>
      <c r="M28" s="24"/>
      <c r="N28" s="21" t="s">
        <v>155</v>
      </c>
      <c r="O28" s="22"/>
    </row>
    <row r="29" spans="2:15" ht="15.75" x14ac:dyDescent="0.25">
      <c r="B29" s="161">
        <v>2</v>
      </c>
      <c r="C29" s="31"/>
      <c r="D29" s="13" t="s">
        <v>1130</v>
      </c>
      <c r="E29" s="32" t="s">
        <v>1131</v>
      </c>
      <c r="F29" s="33" t="s">
        <v>66</v>
      </c>
      <c r="G29" s="34">
        <v>46175</v>
      </c>
      <c r="H29" s="35">
        <v>46188</v>
      </c>
      <c r="I29" s="36">
        <v>215100</v>
      </c>
      <c r="J29" s="37">
        <f t="shared" si="2"/>
        <v>215100</v>
      </c>
      <c r="K29" s="19"/>
      <c r="L29" s="24"/>
      <c r="M29" s="24"/>
      <c r="N29" s="21" t="s">
        <v>155</v>
      </c>
      <c r="O29" s="22"/>
    </row>
    <row r="30" spans="2:15" ht="15.75" x14ac:dyDescent="0.25">
      <c r="B30" s="161">
        <v>3</v>
      </c>
      <c r="C30" s="31"/>
      <c r="D30" s="13" t="s">
        <v>1132</v>
      </c>
      <c r="E30" s="32" t="s">
        <v>81</v>
      </c>
      <c r="F30" s="33" t="s">
        <v>75</v>
      </c>
      <c r="G30" s="34">
        <v>46175</v>
      </c>
      <c r="H30" s="35">
        <v>46188</v>
      </c>
      <c r="I30" s="36">
        <v>1075500</v>
      </c>
      <c r="J30" s="37">
        <v>575500</v>
      </c>
      <c r="K30" s="19"/>
      <c r="L30" s="24"/>
      <c r="M30" s="24"/>
      <c r="N30" s="22" t="s">
        <v>158</v>
      </c>
      <c r="O30" s="22"/>
    </row>
    <row r="31" spans="2:15" ht="15.75" x14ac:dyDescent="0.25">
      <c r="B31" s="161">
        <v>4</v>
      </c>
      <c r="C31" s="31"/>
      <c r="D31" s="13" t="s">
        <v>1133</v>
      </c>
      <c r="E31" s="32" t="s">
        <v>1134</v>
      </c>
      <c r="F31" s="33" t="s">
        <v>1135</v>
      </c>
      <c r="G31" s="34">
        <v>46160</v>
      </c>
      <c r="H31" s="35">
        <v>46172</v>
      </c>
      <c r="I31" s="36">
        <v>645300</v>
      </c>
      <c r="J31" s="37">
        <f t="shared" si="2"/>
        <v>645300</v>
      </c>
      <c r="K31" s="19"/>
      <c r="L31" s="24"/>
      <c r="M31" s="24"/>
      <c r="N31" s="21" t="s">
        <v>3</v>
      </c>
      <c r="O31" s="22"/>
    </row>
    <row r="32" spans="2:15" ht="15.75" x14ac:dyDescent="0.25">
      <c r="B32" s="161">
        <v>5</v>
      </c>
      <c r="C32" s="31"/>
      <c r="D32" s="13" t="s">
        <v>1046</v>
      </c>
      <c r="E32" s="32" t="s">
        <v>1047</v>
      </c>
      <c r="F32" s="33" t="s">
        <v>1048</v>
      </c>
      <c r="G32" s="34">
        <v>46160</v>
      </c>
      <c r="H32" s="35">
        <v>46172</v>
      </c>
      <c r="I32" s="36">
        <v>2302000</v>
      </c>
      <c r="J32" s="37">
        <f t="shared" si="2"/>
        <v>2302000</v>
      </c>
      <c r="K32" s="19"/>
      <c r="L32" s="24"/>
      <c r="M32" s="24"/>
      <c r="N32" s="21" t="s">
        <v>155</v>
      </c>
      <c r="O32" s="22"/>
    </row>
    <row r="33" spans="2:15" ht="15.75" x14ac:dyDescent="0.25">
      <c r="B33" s="161">
        <v>6</v>
      </c>
      <c r="C33" s="31"/>
      <c r="D33" s="13" t="s">
        <v>1137</v>
      </c>
      <c r="E33" s="32" t="s">
        <v>1138</v>
      </c>
      <c r="F33" s="33" t="s">
        <v>1139</v>
      </c>
      <c r="G33" s="34">
        <v>46160</v>
      </c>
      <c r="H33" s="35">
        <v>46172</v>
      </c>
      <c r="I33" s="36">
        <v>239946</v>
      </c>
      <c r="J33" s="37"/>
      <c r="K33" s="19"/>
      <c r="L33" s="24">
        <f>I33</f>
        <v>239946</v>
      </c>
      <c r="M33" s="24"/>
      <c r="N33" s="21" t="s">
        <v>155</v>
      </c>
      <c r="O33" s="22"/>
    </row>
    <row r="34" spans="2:15" ht="15.75" x14ac:dyDescent="0.25">
      <c r="B34" s="161">
        <v>7</v>
      </c>
      <c r="C34" s="31"/>
      <c r="D34" s="13" t="s">
        <v>1140</v>
      </c>
      <c r="E34" s="32" t="s">
        <v>1136</v>
      </c>
      <c r="F34" s="33" t="s">
        <v>268</v>
      </c>
      <c r="G34" s="34">
        <v>46161</v>
      </c>
      <c r="H34" s="35">
        <v>46174</v>
      </c>
      <c r="I34" s="36">
        <v>264265</v>
      </c>
      <c r="J34" s="37"/>
      <c r="K34" s="19"/>
      <c r="L34" s="24">
        <f t="shared" ref="L34:L38" si="3">I34</f>
        <v>264265</v>
      </c>
      <c r="M34" s="24"/>
      <c r="N34" s="21" t="s">
        <v>155</v>
      </c>
      <c r="O34" s="22"/>
    </row>
    <row r="35" spans="2:15" ht="15.75" x14ac:dyDescent="0.25">
      <c r="B35" s="161">
        <v>8</v>
      </c>
      <c r="C35" s="31"/>
      <c r="D35" s="13" t="s">
        <v>1141</v>
      </c>
      <c r="E35" s="32" t="s">
        <v>1142</v>
      </c>
      <c r="F35" s="33" t="s">
        <v>365</v>
      </c>
      <c r="G35" s="34">
        <v>46168</v>
      </c>
      <c r="H35" s="35">
        <v>46181</v>
      </c>
      <c r="I35" s="36">
        <v>217500</v>
      </c>
      <c r="J35" s="37"/>
      <c r="K35" s="19"/>
      <c r="L35" s="24">
        <f t="shared" si="3"/>
        <v>217500</v>
      </c>
      <c r="M35" s="24"/>
      <c r="N35" s="21" t="s">
        <v>155</v>
      </c>
      <c r="O35" s="22"/>
    </row>
    <row r="36" spans="2:15" ht="15.75" x14ac:dyDescent="0.25">
      <c r="B36" s="161">
        <v>9</v>
      </c>
      <c r="C36" s="31"/>
      <c r="D36" s="13" t="s">
        <v>1143</v>
      </c>
      <c r="E36" s="32" t="s">
        <v>237</v>
      </c>
      <c r="F36" s="33" t="s">
        <v>75</v>
      </c>
      <c r="G36" s="34">
        <v>46175</v>
      </c>
      <c r="H36" s="35">
        <v>46188</v>
      </c>
      <c r="I36" s="36">
        <v>171390</v>
      </c>
      <c r="J36" s="37"/>
      <c r="K36" s="19"/>
      <c r="L36" s="24">
        <f t="shared" si="3"/>
        <v>171390</v>
      </c>
      <c r="M36" s="24"/>
      <c r="N36" s="21" t="s">
        <v>155</v>
      </c>
      <c r="O36" s="22"/>
    </row>
    <row r="37" spans="2:15" ht="15.75" x14ac:dyDescent="0.25">
      <c r="B37" s="161">
        <v>10</v>
      </c>
      <c r="C37" s="31"/>
      <c r="D37" s="13" t="s">
        <v>1144</v>
      </c>
      <c r="E37" s="32" t="s">
        <v>95</v>
      </c>
      <c r="F37" s="33" t="s">
        <v>66</v>
      </c>
      <c r="G37" s="34">
        <v>46175</v>
      </c>
      <c r="H37" s="35">
        <v>46188</v>
      </c>
      <c r="I37" s="36">
        <v>231000</v>
      </c>
      <c r="J37" s="37"/>
      <c r="K37" s="19"/>
      <c r="L37" s="24">
        <f t="shared" si="3"/>
        <v>231000</v>
      </c>
      <c r="M37" s="24"/>
      <c r="N37" s="21" t="s">
        <v>155</v>
      </c>
      <c r="O37" s="22"/>
    </row>
    <row r="38" spans="2:15" ht="15.75" x14ac:dyDescent="0.25">
      <c r="B38" s="161">
        <v>11</v>
      </c>
      <c r="C38" s="31"/>
      <c r="D38" s="13" t="s">
        <v>1145</v>
      </c>
      <c r="E38" s="32" t="s">
        <v>70</v>
      </c>
      <c r="F38" s="33" t="s">
        <v>71</v>
      </c>
      <c r="G38" s="34">
        <v>46175</v>
      </c>
      <c r="H38" s="35">
        <v>46188</v>
      </c>
      <c r="I38" s="36">
        <v>80000</v>
      </c>
      <c r="J38" s="37"/>
      <c r="K38" s="19"/>
      <c r="L38" s="24">
        <f t="shared" si="3"/>
        <v>80000</v>
      </c>
      <c r="M38" s="24"/>
      <c r="N38" s="21" t="s">
        <v>155</v>
      </c>
      <c r="O38" s="22"/>
    </row>
    <row r="39" spans="2:15" ht="15.75" x14ac:dyDescent="0.25">
      <c r="B39" s="192" t="s">
        <v>13</v>
      </c>
      <c r="C39" s="193"/>
      <c r="D39" s="193"/>
      <c r="E39" s="193"/>
      <c r="F39" s="193"/>
      <c r="G39" s="193"/>
      <c r="H39" s="193"/>
      <c r="I39" s="194"/>
      <c r="J39" s="38">
        <f>SUM(J28:J38)</f>
        <v>3953000</v>
      </c>
      <c r="K39" s="26">
        <f>SUM(K28:K38)</f>
        <v>0</v>
      </c>
      <c r="L39" s="27">
        <f>SUM(L28:L38)</f>
        <v>1204101</v>
      </c>
      <c r="M39" s="27">
        <f>SUM(M28:M38)</f>
        <v>0</v>
      </c>
      <c r="N39" s="39"/>
      <c r="O39" s="40">
        <f>SUM(J39+K39+L39+M39)</f>
        <v>5157101</v>
      </c>
    </row>
    <row r="40" spans="2:15" ht="15.75" x14ac:dyDescent="0.25">
      <c r="B40" s="195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</row>
    <row r="41" spans="2:15" ht="15.75" x14ac:dyDescent="0.25">
      <c r="B41" s="42">
        <v>1</v>
      </c>
      <c r="C41" s="43" t="s">
        <v>21</v>
      </c>
      <c r="D41" s="44" t="s">
        <v>1146</v>
      </c>
      <c r="E41" s="45" t="s">
        <v>106</v>
      </c>
      <c r="F41" s="45" t="s">
        <v>107</v>
      </c>
      <c r="G41" s="46">
        <v>46175</v>
      </c>
      <c r="H41" s="46">
        <v>46188</v>
      </c>
      <c r="I41" s="47">
        <v>657400</v>
      </c>
      <c r="J41" s="48">
        <f>I41</f>
        <v>657400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2</v>
      </c>
      <c r="C42" s="43"/>
      <c r="D42" s="44" t="s">
        <v>1147</v>
      </c>
      <c r="E42" s="45" t="s">
        <v>1148</v>
      </c>
      <c r="F42" s="45" t="s">
        <v>110</v>
      </c>
      <c r="G42" s="46">
        <v>46175</v>
      </c>
      <c r="H42" s="46">
        <v>46188</v>
      </c>
      <c r="I42" s="47">
        <v>1416300</v>
      </c>
      <c r="J42" s="48">
        <f t="shared" ref="J42:J49" si="4">I42</f>
        <v>1416300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3</v>
      </c>
      <c r="C43" s="43"/>
      <c r="D43" s="44" t="s">
        <v>1149</v>
      </c>
      <c r="E43" s="45" t="s">
        <v>114</v>
      </c>
      <c r="F43" s="45" t="s">
        <v>110</v>
      </c>
      <c r="G43" s="46">
        <v>46175</v>
      </c>
      <c r="H43" s="46">
        <v>46188</v>
      </c>
      <c r="I43" s="47">
        <v>215100</v>
      </c>
      <c r="J43" s="48">
        <f t="shared" si="4"/>
        <v>215100</v>
      </c>
      <c r="K43" s="49"/>
      <c r="L43" s="50"/>
      <c r="M43" s="50"/>
      <c r="N43" s="22" t="s">
        <v>155</v>
      </c>
      <c r="O43" s="42"/>
    </row>
    <row r="44" spans="2:15" ht="15.75" x14ac:dyDescent="0.25">
      <c r="B44" s="42">
        <v>4</v>
      </c>
      <c r="C44" s="43"/>
      <c r="D44" s="44" t="s">
        <v>1150</v>
      </c>
      <c r="E44" s="45" t="s">
        <v>116</v>
      </c>
      <c r="F44" s="45" t="s">
        <v>117</v>
      </c>
      <c r="G44" s="46">
        <v>46175</v>
      </c>
      <c r="H44" s="46">
        <v>46188</v>
      </c>
      <c r="I44" s="47">
        <v>113600</v>
      </c>
      <c r="J44" s="48">
        <f t="shared" si="4"/>
        <v>113600</v>
      </c>
      <c r="K44" s="49"/>
      <c r="L44" s="50"/>
      <c r="M44" s="50"/>
      <c r="N44" s="22" t="s">
        <v>155</v>
      </c>
      <c r="O44" s="42"/>
    </row>
    <row r="45" spans="2:15" ht="15.75" x14ac:dyDescent="0.25">
      <c r="B45" s="42">
        <v>5</v>
      </c>
      <c r="C45" s="43"/>
      <c r="D45" s="44" t="s">
        <v>1151</v>
      </c>
      <c r="E45" s="45" t="s">
        <v>1152</v>
      </c>
      <c r="F45" s="45" t="s">
        <v>1153</v>
      </c>
      <c r="G45" s="46">
        <v>46175</v>
      </c>
      <c r="H45" s="46">
        <v>46188</v>
      </c>
      <c r="I45" s="47">
        <v>1416300</v>
      </c>
      <c r="J45" s="48">
        <f t="shared" si="4"/>
        <v>1416300</v>
      </c>
      <c r="K45" s="49"/>
      <c r="L45" s="50"/>
      <c r="M45" s="50"/>
      <c r="N45" s="22" t="s">
        <v>155</v>
      </c>
      <c r="O45" s="42"/>
    </row>
    <row r="46" spans="2:15" ht="15.75" x14ac:dyDescent="0.25">
      <c r="B46" s="42">
        <v>6</v>
      </c>
      <c r="C46" s="43"/>
      <c r="D46" s="44" t="s">
        <v>1154</v>
      </c>
      <c r="E46" s="45" t="s">
        <v>97</v>
      </c>
      <c r="F46" s="45" t="s">
        <v>98</v>
      </c>
      <c r="G46" s="46">
        <v>46174</v>
      </c>
      <c r="H46" s="46">
        <v>46186</v>
      </c>
      <c r="I46" s="47">
        <v>872500</v>
      </c>
      <c r="J46" s="48">
        <f t="shared" si="4"/>
        <v>872500</v>
      </c>
      <c r="K46" s="49"/>
      <c r="L46" s="50"/>
      <c r="M46" s="50"/>
      <c r="N46" s="22" t="s">
        <v>155</v>
      </c>
      <c r="O46" s="42"/>
    </row>
    <row r="47" spans="2:15" ht="15.75" x14ac:dyDescent="0.25">
      <c r="B47" s="42">
        <v>7</v>
      </c>
      <c r="C47" s="43"/>
      <c r="D47" s="44" t="s">
        <v>1076</v>
      </c>
      <c r="E47" s="45" t="s">
        <v>119</v>
      </c>
      <c r="F47" s="45" t="s">
        <v>1077</v>
      </c>
      <c r="G47" s="46">
        <v>46174</v>
      </c>
      <c r="H47" s="46">
        <v>46186</v>
      </c>
      <c r="I47" s="47">
        <v>30200</v>
      </c>
      <c r="J47" s="48">
        <f t="shared" si="4"/>
        <v>30200</v>
      </c>
      <c r="K47" s="49"/>
      <c r="L47" s="50"/>
      <c r="M47" s="50"/>
      <c r="N47" s="22" t="s">
        <v>155</v>
      </c>
      <c r="O47" s="42"/>
    </row>
    <row r="48" spans="2:15" ht="15.75" x14ac:dyDescent="0.25">
      <c r="B48" s="42">
        <v>8</v>
      </c>
      <c r="C48" s="43"/>
      <c r="D48" s="44" t="s">
        <v>1080</v>
      </c>
      <c r="E48" s="45" t="s">
        <v>100</v>
      </c>
      <c r="F48" s="45" t="s">
        <v>101</v>
      </c>
      <c r="G48" s="46">
        <v>46174</v>
      </c>
      <c r="H48" s="46">
        <v>46186</v>
      </c>
      <c r="I48" s="47">
        <v>145300</v>
      </c>
      <c r="J48" s="48">
        <f t="shared" si="4"/>
        <v>145300</v>
      </c>
      <c r="K48" s="49"/>
      <c r="L48" s="50"/>
      <c r="M48" s="50"/>
      <c r="N48" s="22" t="s">
        <v>155</v>
      </c>
      <c r="O48" s="42"/>
    </row>
    <row r="49" spans="2:15" ht="15.75" x14ac:dyDescent="0.25">
      <c r="B49" s="42">
        <v>9</v>
      </c>
      <c r="C49" s="43"/>
      <c r="D49" s="44" t="s">
        <v>1081</v>
      </c>
      <c r="E49" s="45" t="s">
        <v>103</v>
      </c>
      <c r="F49" s="45" t="s">
        <v>104</v>
      </c>
      <c r="G49" s="46">
        <v>46174</v>
      </c>
      <c r="H49" s="46">
        <v>46186</v>
      </c>
      <c r="I49" s="47">
        <v>395300</v>
      </c>
      <c r="J49" s="48">
        <f t="shared" si="4"/>
        <v>395300</v>
      </c>
      <c r="K49" s="49"/>
      <c r="L49" s="50"/>
      <c r="M49" s="50"/>
      <c r="N49" s="22" t="s">
        <v>155</v>
      </c>
      <c r="O49" s="42"/>
    </row>
    <row r="50" spans="2:15" ht="15.75" x14ac:dyDescent="0.25">
      <c r="B50" s="42">
        <v>10</v>
      </c>
      <c r="C50" s="43"/>
      <c r="D50" s="44" t="s">
        <v>1155</v>
      </c>
      <c r="E50" s="45" t="s">
        <v>97</v>
      </c>
      <c r="F50" s="45" t="s">
        <v>98</v>
      </c>
      <c r="G50" s="46">
        <v>46174</v>
      </c>
      <c r="H50" s="46">
        <v>46186</v>
      </c>
      <c r="I50" s="47">
        <v>128498</v>
      </c>
      <c r="J50" s="48"/>
      <c r="K50" s="49"/>
      <c r="L50" s="51">
        <f>I50</f>
        <v>128498</v>
      </c>
      <c r="M50" s="50"/>
      <c r="N50" s="22" t="s">
        <v>155</v>
      </c>
      <c r="O50" s="42"/>
    </row>
    <row r="51" spans="2:15" ht="15.75" x14ac:dyDescent="0.25">
      <c r="B51" s="42">
        <v>11</v>
      </c>
      <c r="C51" s="43"/>
      <c r="D51" s="44" t="s">
        <v>1156</v>
      </c>
      <c r="E51" s="45" t="s">
        <v>100</v>
      </c>
      <c r="F51" s="45" t="s">
        <v>101</v>
      </c>
      <c r="G51" s="46">
        <v>46174</v>
      </c>
      <c r="H51" s="46">
        <v>46186</v>
      </c>
      <c r="I51" s="47">
        <v>459996</v>
      </c>
      <c r="J51" s="48"/>
      <c r="K51" s="49"/>
      <c r="L51" s="51">
        <f t="shared" ref="L51:L57" si="5">I51</f>
        <v>459996</v>
      </c>
      <c r="M51" s="50"/>
      <c r="N51" s="22" t="s">
        <v>155</v>
      </c>
      <c r="O51" s="42"/>
    </row>
    <row r="52" spans="2:15" ht="15.75" x14ac:dyDescent="0.25">
      <c r="B52" s="42">
        <v>12</v>
      </c>
      <c r="C52" s="43"/>
      <c r="D52" s="44" t="s">
        <v>1157</v>
      </c>
      <c r="E52" s="45" t="s">
        <v>103</v>
      </c>
      <c r="F52" s="45" t="s">
        <v>104</v>
      </c>
      <c r="G52" s="46">
        <v>46174</v>
      </c>
      <c r="H52" s="46">
        <v>46186</v>
      </c>
      <c r="I52" s="47">
        <v>69498</v>
      </c>
      <c r="J52" s="48"/>
      <c r="K52" s="49"/>
      <c r="L52" s="51">
        <f t="shared" si="5"/>
        <v>69498</v>
      </c>
      <c r="M52" s="50"/>
      <c r="N52" s="22" t="s">
        <v>155</v>
      </c>
      <c r="O52" s="42"/>
    </row>
    <row r="53" spans="2:15" ht="15.75" x14ac:dyDescent="0.25">
      <c r="B53" s="42">
        <v>13</v>
      </c>
      <c r="C53" s="43"/>
      <c r="D53" s="44" t="s">
        <v>1158</v>
      </c>
      <c r="E53" s="45" t="s">
        <v>119</v>
      </c>
      <c r="F53" s="45" t="s">
        <v>1077</v>
      </c>
      <c r="G53" s="46">
        <v>46174</v>
      </c>
      <c r="H53" s="46">
        <v>46186</v>
      </c>
      <c r="I53" s="47">
        <v>391500</v>
      </c>
      <c r="J53" s="48"/>
      <c r="K53" s="49"/>
      <c r="L53" s="51">
        <f t="shared" si="5"/>
        <v>391500</v>
      </c>
      <c r="M53" s="50"/>
      <c r="N53" s="22" t="s">
        <v>155</v>
      </c>
      <c r="O53" s="42"/>
    </row>
    <row r="54" spans="2:15" ht="15.75" x14ac:dyDescent="0.25">
      <c r="B54" s="42">
        <v>14</v>
      </c>
      <c r="C54" s="43"/>
      <c r="D54" s="44" t="s">
        <v>1159</v>
      </c>
      <c r="E54" s="45" t="s">
        <v>1160</v>
      </c>
      <c r="F54" s="45" t="s">
        <v>110</v>
      </c>
      <c r="G54" s="46">
        <v>46175</v>
      </c>
      <c r="H54" s="46">
        <v>46188</v>
      </c>
      <c r="I54" s="47">
        <v>347490</v>
      </c>
      <c r="J54" s="48"/>
      <c r="K54" s="49"/>
      <c r="L54" s="51">
        <f t="shared" si="5"/>
        <v>347490</v>
      </c>
      <c r="M54" s="50"/>
      <c r="N54" s="22" t="s">
        <v>155</v>
      </c>
      <c r="O54" s="42"/>
    </row>
    <row r="55" spans="2:15" ht="15.75" x14ac:dyDescent="0.25">
      <c r="B55" s="42">
        <v>15</v>
      </c>
      <c r="C55" s="43"/>
      <c r="D55" s="44" t="s">
        <v>1161</v>
      </c>
      <c r="E55" s="45" t="s">
        <v>106</v>
      </c>
      <c r="F55" s="45" t="s">
        <v>107</v>
      </c>
      <c r="G55" s="46">
        <v>46175</v>
      </c>
      <c r="H55" s="46">
        <v>46188</v>
      </c>
      <c r="I55" s="47">
        <v>217500</v>
      </c>
      <c r="J55" s="48"/>
      <c r="K55" s="49"/>
      <c r="L55" s="51">
        <f t="shared" si="5"/>
        <v>217500</v>
      </c>
      <c r="M55" s="50"/>
      <c r="N55" s="22" t="s">
        <v>155</v>
      </c>
      <c r="O55" s="42"/>
    </row>
    <row r="56" spans="2:15" ht="15.75" x14ac:dyDescent="0.25">
      <c r="B56" s="42">
        <v>16</v>
      </c>
      <c r="C56" s="43"/>
      <c r="D56" s="44" t="s">
        <v>1162</v>
      </c>
      <c r="E56" s="45" t="s">
        <v>109</v>
      </c>
      <c r="F56" s="45" t="s">
        <v>110</v>
      </c>
      <c r="G56" s="46">
        <v>46175</v>
      </c>
      <c r="H56" s="46">
        <v>46188</v>
      </c>
      <c r="I56" s="47">
        <v>156000</v>
      </c>
      <c r="J56" s="48"/>
      <c r="K56" s="49"/>
      <c r="L56" s="51">
        <f t="shared" si="5"/>
        <v>156000</v>
      </c>
      <c r="M56" s="51"/>
      <c r="N56" s="22" t="s">
        <v>155</v>
      </c>
      <c r="O56" s="42"/>
    </row>
    <row r="57" spans="2:15" ht="15.75" x14ac:dyDescent="0.25">
      <c r="B57" s="42">
        <v>17</v>
      </c>
      <c r="C57" s="43"/>
      <c r="D57" s="44" t="s">
        <v>238</v>
      </c>
      <c r="E57" s="45" t="s">
        <v>116</v>
      </c>
      <c r="F57" s="45" t="s">
        <v>117</v>
      </c>
      <c r="G57" s="46">
        <v>46175</v>
      </c>
      <c r="H57" s="46">
        <v>46188</v>
      </c>
      <c r="I57" s="47">
        <v>304500</v>
      </c>
      <c r="J57" s="48"/>
      <c r="K57" s="49"/>
      <c r="L57" s="51">
        <f t="shared" si="5"/>
        <v>304500</v>
      </c>
      <c r="M57" s="51"/>
      <c r="N57" s="22" t="s">
        <v>155</v>
      </c>
      <c r="O57" s="42"/>
    </row>
    <row r="58" spans="2:15" ht="15.75" x14ac:dyDescent="0.25">
      <c r="B58" s="197" t="s">
        <v>13</v>
      </c>
      <c r="C58" s="198"/>
      <c r="D58" s="198"/>
      <c r="E58" s="198"/>
      <c r="F58" s="198"/>
      <c r="G58" s="198"/>
      <c r="H58" s="198"/>
      <c r="I58" s="199"/>
      <c r="J58" s="52">
        <f>SUM(J41:J57)</f>
        <v>5262000</v>
      </c>
      <c r="K58" s="53">
        <f>SUM(K41:K57)</f>
        <v>0</v>
      </c>
      <c r="L58" s="54">
        <f>SUM(L41:L57)</f>
        <v>2074982</v>
      </c>
      <c r="M58" s="54">
        <f>SUM(M41:M57)</f>
        <v>0</v>
      </c>
      <c r="N58" s="55"/>
      <c r="O58" s="56">
        <f>SUM(J58+K58+L58+M58)</f>
        <v>7336982</v>
      </c>
    </row>
    <row r="59" spans="2:15" x14ac:dyDescent="0.25">
      <c r="D59" s="57"/>
      <c r="I59" s="58"/>
      <c r="J59" s="58"/>
    </row>
    <row r="60" spans="2:15" x14ac:dyDescent="0.25">
      <c r="D60" s="57"/>
      <c r="I60" s="58"/>
      <c r="J60" s="58"/>
    </row>
    <row r="61" spans="2:15" ht="15.75" x14ac:dyDescent="0.25">
      <c r="D61" s="57"/>
      <c r="G61" s="200" t="s">
        <v>22</v>
      </c>
      <c r="H61" s="200"/>
      <c r="I61" s="200"/>
      <c r="J61" s="59">
        <f>SUM(J58+J39+J26)</f>
        <v>12266500</v>
      </c>
      <c r="K61" s="26">
        <f>SUM(K58+K39+K26)</f>
        <v>0</v>
      </c>
      <c r="L61" s="60">
        <f>SUM(L58+L39+L26)</f>
        <v>5163057</v>
      </c>
      <c r="M61" s="60">
        <f>SUM(M58+M39+M26)</f>
        <v>0</v>
      </c>
      <c r="N61" s="39"/>
      <c r="O61" s="30">
        <f>SUM(J61+K61+L61+M61)</f>
        <v>17429557</v>
      </c>
    </row>
    <row r="62" spans="2:15" x14ac:dyDescent="0.25">
      <c r="D62" s="57"/>
      <c r="I62" s="58"/>
      <c r="J62" s="58"/>
    </row>
    <row r="63" spans="2:15" x14ac:dyDescent="0.25">
      <c r="B63" s="201" t="s">
        <v>17</v>
      </c>
      <c r="C63" s="201"/>
      <c r="D63" s="201"/>
      <c r="I63" s="58"/>
      <c r="J63" s="58"/>
    </row>
    <row r="64" spans="2:15" ht="15.75" x14ac:dyDescent="0.25">
      <c r="B64" s="188" t="s">
        <v>4</v>
      </c>
      <c r="C64" s="202" t="s">
        <v>23</v>
      </c>
      <c r="D64" s="188" t="s">
        <v>6</v>
      </c>
      <c r="E64" s="188" t="s">
        <v>7</v>
      </c>
      <c r="F64" s="188" t="s">
        <v>8</v>
      </c>
      <c r="G64" s="188" t="s">
        <v>9</v>
      </c>
      <c r="H64" s="188" t="s">
        <v>10</v>
      </c>
      <c r="I64" s="202" t="s">
        <v>24</v>
      </c>
      <c r="J64" s="169" t="s">
        <v>12</v>
      </c>
      <c r="K64" s="170"/>
      <c r="L64" s="170"/>
      <c r="M64" s="170"/>
      <c r="N64" s="171"/>
      <c r="O64" s="204" t="s">
        <v>13</v>
      </c>
    </row>
    <row r="65" spans="2:15" ht="15.75" x14ac:dyDescent="0.25">
      <c r="B65" s="189"/>
      <c r="C65" s="203"/>
      <c r="D65" s="189"/>
      <c r="E65" s="189"/>
      <c r="F65" s="189"/>
      <c r="G65" s="189"/>
      <c r="H65" s="189"/>
      <c r="I65" s="203"/>
      <c r="J65" s="164" t="s">
        <v>14</v>
      </c>
      <c r="K65" s="165"/>
      <c r="L65" s="166" t="s">
        <v>15</v>
      </c>
      <c r="M65" s="167"/>
      <c r="N65" s="4" t="s">
        <v>16</v>
      </c>
      <c r="O65" s="205"/>
    </row>
    <row r="66" spans="2:15" ht="15.75" x14ac:dyDescent="0.25">
      <c r="B66" s="5"/>
      <c r="C66" s="61"/>
      <c r="D66" s="5"/>
      <c r="E66" s="5"/>
      <c r="F66" s="5"/>
      <c r="G66" s="5"/>
      <c r="H66" s="5"/>
      <c r="I66" s="61"/>
      <c r="J66" s="62" t="s">
        <v>17</v>
      </c>
      <c r="K66" s="6" t="s">
        <v>18</v>
      </c>
      <c r="L66" s="10" t="s">
        <v>17</v>
      </c>
      <c r="M66" s="10" t="s">
        <v>18</v>
      </c>
      <c r="N66" s="4"/>
      <c r="O66" s="7"/>
    </row>
    <row r="67" spans="2:15" ht="15" customHeight="1" x14ac:dyDescent="0.25">
      <c r="B67" s="63">
        <v>1</v>
      </c>
      <c r="C67" s="43" t="s">
        <v>330</v>
      </c>
      <c r="D67" s="64" t="s">
        <v>1169</v>
      </c>
      <c r="E67" s="65" t="s">
        <v>1170</v>
      </c>
      <c r="F67" s="65" t="s">
        <v>1023</v>
      </c>
      <c r="G67" s="66">
        <v>46188</v>
      </c>
      <c r="H67" s="66"/>
      <c r="I67" s="67">
        <v>647400</v>
      </c>
      <c r="J67" s="37">
        <f>I67</f>
        <v>647400</v>
      </c>
      <c r="K67" s="68"/>
      <c r="L67" s="69"/>
      <c r="M67" s="69"/>
      <c r="N67" s="22" t="s">
        <v>155</v>
      </c>
      <c r="O67" s="70"/>
    </row>
    <row r="68" spans="2:15" ht="15" customHeight="1" x14ac:dyDescent="0.25">
      <c r="B68" s="63">
        <v>2</v>
      </c>
      <c r="C68" s="43" t="s">
        <v>330</v>
      </c>
      <c r="D68" s="64" t="s">
        <v>1171</v>
      </c>
      <c r="E68" s="65" t="s">
        <v>1170</v>
      </c>
      <c r="F68" s="65" t="s">
        <v>1023</v>
      </c>
      <c r="G68" s="66">
        <v>46188</v>
      </c>
      <c r="H68" s="66"/>
      <c r="I68" s="67">
        <v>138000</v>
      </c>
      <c r="J68" s="37"/>
      <c r="K68" s="68"/>
      <c r="L68" s="159">
        <f>I68</f>
        <v>138000</v>
      </c>
      <c r="M68" s="69"/>
      <c r="N68" s="22" t="s">
        <v>155</v>
      </c>
      <c r="O68" s="70"/>
    </row>
    <row r="69" spans="2:15" ht="15" customHeight="1" x14ac:dyDescent="0.25">
      <c r="B69" s="63">
        <v>3</v>
      </c>
      <c r="C69" s="43" t="s">
        <v>330</v>
      </c>
      <c r="D69" s="64" t="s">
        <v>1172</v>
      </c>
      <c r="E69" s="65" t="s">
        <v>1173</v>
      </c>
      <c r="F69" s="65" t="s">
        <v>1121</v>
      </c>
      <c r="G69" s="66">
        <v>46188</v>
      </c>
      <c r="H69" s="66"/>
      <c r="I69" s="67">
        <v>1063000</v>
      </c>
      <c r="J69" s="37"/>
      <c r="K69" s="68">
        <v>1063000</v>
      </c>
      <c r="L69" s="69"/>
      <c r="M69" s="69"/>
      <c r="N69" s="22" t="s">
        <v>1189</v>
      </c>
      <c r="O69" s="70"/>
    </row>
    <row r="70" spans="2:15" ht="15" customHeight="1" x14ac:dyDescent="0.25">
      <c r="B70" s="63">
        <v>4</v>
      </c>
      <c r="C70" s="43" t="s">
        <v>440</v>
      </c>
      <c r="D70" s="64" t="s">
        <v>1174</v>
      </c>
      <c r="E70" s="65" t="s">
        <v>1175</v>
      </c>
      <c r="F70" s="65" t="s">
        <v>1176</v>
      </c>
      <c r="G70" s="66">
        <v>46188</v>
      </c>
      <c r="H70" s="66"/>
      <c r="I70" s="67">
        <v>1111000</v>
      </c>
      <c r="J70" s="37">
        <f t="shared" ref="J70:J72" si="6">I70</f>
        <v>1111000</v>
      </c>
      <c r="K70" s="68"/>
      <c r="L70" s="69"/>
      <c r="M70" s="69"/>
      <c r="N70" s="22" t="s">
        <v>155</v>
      </c>
      <c r="O70" s="70"/>
    </row>
    <row r="71" spans="2:15" ht="15" customHeight="1" x14ac:dyDescent="0.25">
      <c r="B71" s="63">
        <v>5</v>
      </c>
      <c r="C71" s="43" t="s">
        <v>440</v>
      </c>
      <c r="D71" s="64" t="s">
        <v>1177</v>
      </c>
      <c r="E71" s="65" t="s">
        <v>1178</v>
      </c>
      <c r="F71" s="65" t="s">
        <v>1179</v>
      </c>
      <c r="G71" s="66">
        <v>46188</v>
      </c>
      <c r="H71" s="66"/>
      <c r="I71" s="67">
        <v>215100</v>
      </c>
      <c r="J71" s="37">
        <f t="shared" si="6"/>
        <v>215100</v>
      </c>
      <c r="K71" s="68"/>
      <c r="L71" s="69"/>
      <c r="M71" s="69"/>
      <c r="N71" s="22" t="s">
        <v>155</v>
      </c>
      <c r="O71" s="70"/>
    </row>
    <row r="72" spans="2:15" ht="15" customHeight="1" x14ac:dyDescent="0.25">
      <c r="B72" s="63">
        <v>6</v>
      </c>
      <c r="C72" s="43" t="s">
        <v>440</v>
      </c>
      <c r="D72" s="64" t="s">
        <v>1180</v>
      </c>
      <c r="E72" s="65" t="s">
        <v>1181</v>
      </c>
      <c r="F72" s="65" t="s">
        <v>1179</v>
      </c>
      <c r="G72" s="66">
        <v>46188</v>
      </c>
      <c r="H72" s="66"/>
      <c r="I72" s="67">
        <v>215100</v>
      </c>
      <c r="J72" s="37">
        <f t="shared" si="6"/>
        <v>215100</v>
      </c>
      <c r="K72" s="68"/>
      <c r="L72" s="69"/>
      <c r="M72" s="69"/>
      <c r="N72" s="22" t="s">
        <v>155</v>
      </c>
      <c r="O72" s="70"/>
    </row>
    <row r="73" spans="2:15" ht="15" customHeight="1" x14ac:dyDescent="0.25">
      <c r="B73" s="63">
        <v>7</v>
      </c>
      <c r="C73" s="43" t="s">
        <v>440</v>
      </c>
      <c r="D73" s="71" t="s">
        <v>1182</v>
      </c>
      <c r="E73" s="71" t="s">
        <v>1183</v>
      </c>
      <c r="F73" s="70" t="s">
        <v>86</v>
      </c>
      <c r="G73" s="66">
        <v>46188</v>
      </c>
      <c r="H73" s="72"/>
      <c r="I73" s="22">
        <v>110400</v>
      </c>
      <c r="J73" s="37"/>
      <c r="K73" s="68"/>
      <c r="L73" s="24">
        <f>I73</f>
        <v>110400</v>
      </c>
      <c r="M73" s="69"/>
      <c r="N73" s="22" t="s">
        <v>155</v>
      </c>
      <c r="O73" s="70"/>
    </row>
    <row r="74" spans="2:15" ht="15" customHeight="1" x14ac:dyDescent="0.25">
      <c r="B74" s="63">
        <v>8</v>
      </c>
      <c r="C74" s="43" t="s">
        <v>440</v>
      </c>
      <c r="D74" s="71" t="s">
        <v>1184</v>
      </c>
      <c r="E74" s="71" t="s">
        <v>1185</v>
      </c>
      <c r="F74" s="70" t="s">
        <v>1186</v>
      </c>
      <c r="G74" s="66">
        <v>46188</v>
      </c>
      <c r="H74" s="72"/>
      <c r="I74" s="22">
        <v>59000</v>
      </c>
      <c r="J74" s="37"/>
      <c r="K74" s="68"/>
      <c r="L74" s="24">
        <f>I74</f>
        <v>59000</v>
      </c>
      <c r="M74" s="69"/>
      <c r="N74" s="22" t="s">
        <v>155</v>
      </c>
      <c r="O74" s="70"/>
    </row>
    <row r="75" spans="2:15" ht="15" customHeight="1" x14ac:dyDescent="0.25">
      <c r="B75" s="63">
        <v>9</v>
      </c>
      <c r="C75" s="43" t="s">
        <v>440</v>
      </c>
      <c r="D75" s="71" t="s">
        <v>1190</v>
      </c>
      <c r="E75" s="71" t="s">
        <v>1191</v>
      </c>
      <c r="F75" s="70" t="s">
        <v>1176</v>
      </c>
      <c r="G75" s="66">
        <v>46188</v>
      </c>
      <c r="H75" s="72"/>
      <c r="I75" s="22">
        <v>276000</v>
      </c>
      <c r="J75" s="37"/>
      <c r="K75" s="68"/>
      <c r="L75" s="24">
        <f>I75</f>
        <v>276000</v>
      </c>
      <c r="M75" s="69"/>
      <c r="N75" s="22" t="s">
        <v>155</v>
      </c>
      <c r="O75" s="70"/>
    </row>
    <row r="76" spans="2:15" ht="15" customHeight="1" x14ac:dyDescent="0.25">
      <c r="B76" s="63">
        <v>10</v>
      </c>
      <c r="C76" s="43" t="s">
        <v>330</v>
      </c>
      <c r="D76" s="71" t="s">
        <v>1192</v>
      </c>
      <c r="E76" s="71" t="s">
        <v>127</v>
      </c>
      <c r="F76" s="70" t="s">
        <v>1121</v>
      </c>
      <c r="G76" s="66">
        <v>46188</v>
      </c>
      <c r="H76" s="72"/>
      <c r="I76" s="22">
        <v>215100</v>
      </c>
      <c r="J76" s="37">
        <f>I76</f>
        <v>215100</v>
      </c>
      <c r="K76" s="68"/>
      <c r="L76" s="69"/>
      <c r="M76" s="69"/>
      <c r="N76" s="22" t="s">
        <v>155</v>
      </c>
      <c r="O76" s="70"/>
    </row>
    <row r="77" spans="2:15" ht="15" customHeight="1" x14ac:dyDescent="0.25">
      <c r="B77" s="63">
        <v>11</v>
      </c>
      <c r="C77" s="43" t="s">
        <v>330</v>
      </c>
      <c r="D77" s="71" t="s">
        <v>1193</v>
      </c>
      <c r="E77" s="71" t="s">
        <v>1194</v>
      </c>
      <c r="F77" s="70" t="s">
        <v>1121</v>
      </c>
      <c r="G77" s="66">
        <v>46188</v>
      </c>
      <c r="H77" s="72"/>
      <c r="I77" s="22">
        <v>68556</v>
      </c>
      <c r="J77" s="37"/>
      <c r="K77" s="68"/>
      <c r="L77" s="24">
        <f>I77</f>
        <v>68556</v>
      </c>
      <c r="M77" s="69"/>
      <c r="N77" s="22" t="s">
        <v>155</v>
      </c>
      <c r="O77" s="70"/>
    </row>
    <row r="78" spans="2:15" ht="15.75" x14ac:dyDescent="0.25">
      <c r="B78" s="169" t="s">
        <v>25</v>
      </c>
      <c r="C78" s="170"/>
      <c r="D78" s="170"/>
      <c r="E78" s="170"/>
      <c r="F78" s="170"/>
      <c r="G78" s="170"/>
      <c r="H78" s="170"/>
      <c r="I78" s="171"/>
      <c r="J78" s="25">
        <f>SUM(J67:J77)</f>
        <v>2403700</v>
      </c>
      <c r="K78" s="74">
        <f>SUM(K67:K77)</f>
        <v>1063000</v>
      </c>
      <c r="L78" s="60">
        <f>SUM(L67:L77)</f>
        <v>651956</v>
      </c>
      <c r="M78" s="60">
        <f>SUM(M67:M77)</f>
        <v>0</v>
      </c>
      <c r="N78" s="39"/>
      <c r="O78" s="75">
        <f>SUM(J78+K78+L78+M78)</f>
        <v>4118656</v>
      </c>
    </row>
    <row r="79" spans="2:15" ht="15.75" x14ac:dyDescent="0.25">
      <c r="B79" s="172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</row>
    <row r="80" spans="2:15" x14ac:dyDescent="0.25">
      <c r="B80" s="44">
        <v>1</v>
      </c>
      <c r="C80" s="12" t="s">
        <v>154</v>
      </c>
      <c r="D80" s="71" t="s">
        <v>1163</v>
      </c>
      <c r="E80" s="71" t="s">
        <v>149</v>
      </c>
      <c r="F80" s="70" t="s">
        <v>147</v>
      </c>
      <c r="G80" s="66">
        <v>46188</v>
      </c>
      <c r="H80" s="72"/>
      <c r="I80" s="22">
        <v>1063000</v>
      </c>
      <c r="J80" s="73">
        <f>I80</f>
        <v>1063000</v>
      </c>
      <c r="K80" s="68"/>
      <c r="L80" s="69"/>
      <c r="M80" s="69"/>
      <c r="N80" s="22" t="s">
        <v>155</v>
      </c>
      <c r="O80" s="70"/>
    </row>
    <row r="81" spans="1:15" x14ac:dyDescent="0.25">
      <c r="B81" s="44">
        <v>2</v>
      </c>
      <c r="C81" s="12" t="s">
        <v>154</v>
      </c>
      <c r="D81" s="71" t="s">
        <v>1164</v>
      </c>
      <c r="E81" s="71" t="s">
        <v>149</v>
      </c>
      <c r="F81" s="70" t="s">
        <v>147</v>
      </c>
      <c r="G81" s="66">
        <v>46188</v>
      </c>
      <c r="H81" s="72"/>
      <c r="I81" s="22">
        <v>557000</v>
      </c>
      <c r="J81" s="73"/>
      <c r="K81" s="68"/>
      <c r="L81" s="24">
        <f>I81</f>
        <v>557000</v>
      </c>
      <c r="M81" s="24"/>
      <c r="N81" s="22" t="s">
        <v>155</v>
      </c>
      <c r="O81" s="70"/>
    </row>
    <row r="82" spans="1:15" x14ac:dyDescent="0.25">
      <c r="B82" s="44">
        <v>3</v>
      </c>
      <c r="C82" s="12" t="s">
        <v>154</v>
      </c>
      <c r="D82" s="71" t="s">
        <v>1165</v>
      </c>
      <c r="E82" s="71" t="s">
        <v>1166</v>
      </c>
      <c r="F82" s="70" t="s">
        <v>147</v>
      </c>
      <c r="G82" s="66">
        <v>46188</v>
      </c>
      <c r="H82" s="72"/>
      <c r="I82" s="22">
        <v>130656</v>
      </c>
      <c r="J82" s="73"/>
      <c r="K82" s="68"/>
      <c r="L82" s="24">
        <f t="shared" ref="L82" si="7">I82</f>
        <v>130656</v>
      </c>
      <c r="M82" s="69"/>
      <c r="N82" s="22" t="s">
        <v>155</v>
      </c>
      <c r="O82" s="70"/>
    </row>
    <row r="83" spans="1:15" x14ac:dyDescent="0.25">
      <c r="B83" s="44">
        <v>4</v>
      </c>
      <c r="C83" s="12" t="s">
        <v>154</v>
      </c>
      <c r="D83" s="71" t="s">
        <v>1167</v>
      </c>
      <c r="E83" s="71" t="s">
        <v>1168</v>
      </c>
      <c r="F83" s="70" t="s">
        <v>147</v>
      </c>
      <c r="G83" s="66">
        <v>46188</v>
      </c>
      <c r="H83" s="72"/>
      <c r="I83" s="22">
        <v>288000</v>
      </c>
      <c r="J83" s="73"/>
      <c r="K83" s="68"/>
      <c r="L83" s="24">
        <f t="shared" ref="L83" si="8">I83</f>
        <v>288000</v>
      </c>
      <c r="M83" s="69"/>
      <c r="N83" s="22" t="s">
        <v>155</v>
      </c>
      <c r="O83" s="70"/>
    </row>
    <row r="84" spans="1:15" x14ac:dyDescent="0.25">
      <c r="B84" s="44">
        <v>4</v>
      </c>
      <c r="C84" s="12" t="s">
        <v>1187</v>
      </c>
      <c r="D84" s="71" t="s">
        <v>1188</v>
      </c>
      <c r="E84" s="71" t="s">
        <v>73</v>
      </c>
      <c r="F84" s="70" t="s">
        <v>74</v>
      </c>
      <c r="G84" s="66">
        <v>46188</v>
      </c>
      <c r="H84" s="72"/>
      <c r="I84" s="22">
        <v>46000</v>
      </c>
      <c r="J84" s="73"/>
      <c r="K84" s="68"/>
      <c r="L84" s="24">
        <v>46000</v>
      </c>
      <c r="M84" s="69"/>
      <c r="N84" s="22" t="s">
        <v>155</v>
      </c>
      <c r="O84" s="70"/>
    </row>
    <row r="85" spans="1:15" ht="15.75" x14ac:dyDescent="0.25">
      <c r="A85" t="s">
        <v>3</v>
      </c>
      <c r="B85" s="169" t="s">
        <v>25</v>
      </c>
      <c r="C85" s="170"/>
      <c r="D85" s="170"/>
      <c r="E85" s="170"/>
      <c r="F85" s="170"/>
      <c r="G85" s="170"/>
      <c r="H85" s="170"/>
      <c r="I85" s="171"/>
      <c r="J85" s="76">
        <f>SUM(J80:J84)</f>
        <v>1063000</v>
      </c>
      <c r="K85" s="74">
        <f>SUM(K80:K84)</f>
        <v>0</v>
      </c>
      <c r="L85" s="60">
        <f>SUM(L80:L84)</f>
        <v>1021656</v>
      </c>
      <c r="M85" s="60">
        <f>SUM(M80:M84)</f>
        <v>0</v>
      </c>
      <c r="N85" s="22"/>
      <c r="O85" s="75">
        <f>SUM(J85+K85+L85+M85)</f>
        <v>2084656</v>
      </c>
    </row>
    <row r="86" spans="1:15" x14ac:dyDescent="0.25">
      <c r="D86" s="57"/>
      <c r="I86" s="58"/>
      <c r="J86" s="58"/>
    </row>
    <row r="87" spans="1:15" ht="15.75" x14ac:dyDescent="0.25">
      <c r="D87" s="57"/>
      <c r="G87" s="162" t="s">
        <v>1646</v>
      </c>
      <c r="H87" s="162"/>
      <c r="I87" s="163"/>
      <c r="J87" s="25">
        <f>SUM(J85+J78)</f>
        <v>3466700</v>
      </c>
      <c r="K87" s="74">
        <f>SUM(K85+K78)</f>
        <v>1063000</v>
      </c>
      <c r="L87" s="60">
        <f>SUM(L85+L78)</f>
        <v>1673612</v>
      </c>
      <c r="M87" s="60">
        <f>SUM(M85+M78)</f>
        <v>0</v>
      </c>
      <c r="N87" s="39"/>
      <c r="O87" s="77">
        <f>SUM(J87+K87+L87+M87)</f>
        <v>6203312</v>
      </c>
    </row>
    <row r="88" spans="1:15" ht="15.75" x14ac:dyDescent="0.25">
      <c r="D88" s="57"/>
      <c r="H88" s="41"/>
      <c r="I88" s="41"/>
      <c r="J88" s="41"/>
      <c r="K88" s="78"/>
      <c r="L88" s="78"/>
      <c r="M88" s="78"/>
      <c r="N88" s="79"/>
      <c r="O88" s="80"/>
    </row>
    <row r="89" spans="1:15" ht="15.75" x14ac:dyDescent="0.25">
      <c r="D89" s="57"/>
      <c r="H89" s="174" t="s">
        <v>27</v>
      </c>
      <c r="I89" s="175"/>
      <c r="J89" s="180" t="s">
        <v>14</v>
      </c>
      <c r="K89" s="180"/>
      <c r="L89" s="181" t="s">
        <v>15</v>
      </c>
      <c r="M89" s="181"/>
      <c r="N89" s="70"/>
      <c r="O89" s="182"/>
    </row>
    <row r="90" spans="1:15" ht="15.75" x14ac:dyDescent="0.25">
      <c r="D90" s="57"/>
      <c r="H90" s="176"/>
      <c r="I90" s="177"/>
      <c r="J90" s="6" t="s">
        <v>17</v>
      </c>
      <c r="K90" s="81" t="s">
        <v>18</v>
      </c>
      <c r="L90" s="82" t="s">
        <v>17</v>
      </c>
      <c r="M90" s="82" t="s">
        <v>18</v>
      </c>
      <c r="N90" s="70"/>
      <c r="O90" s="182"/>
    </row>
    <row r="91" spans="1:15" ht="15.75" x14ac:dyDescent="0.25">
      <c r="D91" s="57"/>
      <c r="H91" s="178"/>
      <c r="I91" s="179"/>
      <c r="J91" s="74">
        <f>SUM(J61,J87)</f>
        <v>15733200</v>
      </c>
      <c r="K91" s="74">
        <f>SUM(K87+K61)</f>
        <v>1063000</v>
      </c>
      <c r="L91" s="60">
        <f>SUM(L87+L61)</f>
        <v>6836669</v>
      </c>
      <c r="M91" s="60">
        <f>SUM(M87+M61)</f>
        <v>0</v>
      </c>
      <c r="N91" s="39"/>
      <c r="O91" s="182"/>
    </row>
    <row r="92" spans="1:15" x14ac:dyDescent="0.25">
      <c r="D92" s="57"/>
      <c r="I92" s="58"/>
      <c r="J92" s="58"/>
    </row>
    <row r="93" spans="1:15" ht="18.75" x14ac:dyDescent="0.3">
      <c r="D93" s="57"/>
      <c r="H93" s="183"/>
      <c r="I93" s="183"/>
      <c r="J93" s="83"/>
      <c r="L93" s="184" t="s">
        <v>28</v>
      </c>
      <c r="M93" s="185"/>
      <c r="N93" s="84">
        <f>SUM(J91+L91)</f>
        <v>22569869</v>
      </c>
      <c r="O93" s="186">
        <f>SUM(N93+N94)</f>
        <v>23632869</v>
      </c>
    </row>
    <row r="94" spans="1:15" ht="18.75" x14ac:dyDescent="0.3">
      <c r="D94" s="57"/>
      <c r="H94" s="183"/>
      <c r="I94" s="183"/>
      <c r="J94" s="83"/>
      <c r="L94" s="184" t="s">
        <v>29</v>
      </c>
      <c r="M94" s="185"/>
      <c r="N94" s="84">
        <f>SUM(K91+M91)</f>
        <v>1063000</v>
      </c>
      <c r="O94" s="187"/>
    </row>
    <row r="95" spans="1:15" ht="18.75" x14ac:dyDescent="0.3">
      <c r="D95" s="57"/>
      <c r="H95" s="168"/>
      <c r="I95" s="168"/>
      <c r="J95" s="85"/>
      <c r="K95" s="86"/>
    </row>
    <row r="96" spans="1:15" x14ac:dyDescent="0.25">
      <c r="D96" s="2" t="s">
        <v>30</v>
      </c>
      <c r="E96" s="1"/>
      <c r="F96" s="1"/>
      <c r="G96" s="1"/>
      <c r="H96" s="1"/>
      <c r="I96" s="1"/>
      <c r="J96" s="1"/>
      <c r="K96" s="1"/>
    </row>
    <row r="97" spans="4:11" x14ac:dyDescent="0.25">
      <c r="D97" s="2"/>
      <c r="E97" s="1"/>
      <c r="F97" s="1"/>
      <c r="G97" s="1"/>
      <c r="H97" s="1"/>
      <c r="I97" s="1"/>
      <c r="J97" s="1"/>
      <c r="K97" s="1"/>
    </row>
    <row r="98" spans="4:11" x14ac:dyDescent="0.25">
      <c r="D98" s="3" t="s">
        <v>31</v>
      </c>
      <c r="E98" s="3"/>
      <c r="F98" s="3" t="s">
        <v>32</v>
      </c>
      <c r="G98" s="3"/>
      <c r="H98" s="3" t="s">
        <v>33</v>
      </c>
      <c r="I98" s="3"/>
      <c r="J98" s="3" t="s">
        <v>34</v>
      </c>
      <c r="K98" s="3"/>
    </row>
    <row r="99" spans="4:11" x14ac:dyDescent="0.25">
      <c r="D99" s="3"/>
      <c r="E99" s="3"/>
      <c r="F99" s="3"/>
      <c r="G99" s="3"/>
      <c r="H99" s="3"/>
      <c r="I99" s="3"/>
      <c r="J99" s="3"/>
      <c r="K99" s="3"/>
    </row>
    <row r="100" spans="4:11" x14ac:dyDescent="0.25">
      <c r="D100" s="3"/>
      <c r="E100" s="3"/>
      <c r="F100" s="3"/>
      <c r="G100" s="3"/>
      <c r="H100" s="3"/>
      <c r="I100" s="3"/>
      <c r="J100" s="3"/>
      <c r="K100" s="3"/>
    </row>
    <row r="101" spans="4:11" x14ac:dyDescent="0.25">
      <c r="D101" s="3"/>
      <c r="E101" s="3"/>
      <c r="F101" s="3"/>
      <c r="G101" s="3"/>
      <c r="H101" s="3"/>
      <c r="I101" s="3"/>
      <c r="J101" s="3"/>
      <c r="K101" s="3"/>
    </row>
    <row r="102" spans="4:11" x14ac:dyDescent="0.25">
      <c r="D102" s="3" t="s">
        <v>35</v>
      </c>
      <c r="E102" s="3"/>
      <c r="F102" s="3" t="s">
        <v>36</v>
      </c>
      <c r="G102" s="3"/>
      <c r="H102" s="3" t="s">
        <v>36</v>
      </c>
      <c r="I102" s="3"/>
      <c r="J102" s="3" t="s">
        <v>37</v>
      </c>
      <c r="K102" s="3"/>
    </row>
    <row r="103" spans="4:11" x14ac:dyDescent="0.25">
      <c r="D103" s="57"/>
    </row>
    <row r="104" spans="4:11" x14ac:dyDescent="0.25">
      <c r="D104" s="57"/>
    </row>
    <row r="105" spans="4:11" x14ac:dyDescent="0.25">
      <c r="D105" s="57"/>
    </row>
    <row r="106" spans="4:11" x14ac:dyDescent="0.25">
      <c r="D106" s="57"/>
    </row>
    <row r="107" spans="4:11" x14ac:dyDescent="0.25">
      <c r="D107" s="57"/>
    </row>
  </sheetData>
  <mergeCells count="48">
    <mergeCell ref="B26:I2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64:G65"/>
    <mergeCell ref="B27:O27"/>
    <mergeCell ref="B39:I39"/>
    <mergeCell ref="B40:O40"/>
    <mergeCell ref="B58:I58"/>
    <mergeCell ref="G61:I61"/>
    <mergeCell ref="B63:D63"/>
    <mergeCell ref="B64:B65"/>
    <mergeCell ref="C64:C65"/>
    <mergeCell ref="D64:D65"/>
    <mergeCell ref="E64:E65"/>
    <mergeCell ref="F64:F65"/>
    <mergeCell ref="H64:H65"/>
    <mergeCell ref="I64:I65"/>
    <mergeCell ref="J64:N64"/>
    <mergeCell ref="O64:O65"/>
    <mergeCell ref="G87:I87"/>
    <mergeCell ref="J65:K65"/>
    <mergeCell ref="L65:M65"/>
    <mergeCell ref="H95:I95"/>
    <mergeCell ref="B78:I78"/>
    <mergeCell ref="B79:O79"/>
    <mergeCell ref="B85:I85"/>
    <mergeCell ref="H89:I91"/>
    <mergeCell ref="J89:K89"/>
    <mergeCell ref="L89:M89"/>
    <mergeCell ref="O89:O91"/>
    <mergeCell ref="H93:I93"/>
    <mergeCell ref="L93:M93"/>
    <mergeCell ref="O93:O94"/>
    <mergeCell ref="H94:I94"/>
    <mergeCell ref="L94:M94"/>
  </mergeCells>
  <pageMargins left="0" right="0" top="0" bottom="0" header="0" footer="0"/>
  <pageSetup paperSize="9" scale="63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17AF-047F-42C2-99ED-23D9CA61F7C9}">
  <dimension ref="A2:Q77"/>
  <sheetViews>
    <sheetView topLeftCell="A43" workbookViewId="0">
      <selection activeCell="G57" sqref="G57:I57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1195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164</v>
      </c>
      <c r="E9" s="14" t="s">
        <v>165</v>
      </c>
      <c r="F9" s="15" t="s">
        <v>163</v>
      </c>
      <c r="G9" s="16">
        <v>46148</v>
      </c>
      <c r="H9" s="16">
        <v>46161</v>
      </c>
      <c r="I9" s="17">
        <v>393000</v>
      </c>
      <c r="J9" s="18">
        <v>300000</v>
      </c>
      <c r="K9" s="19"/>
      <c r="L9" s="20"/>
      <c r="M9" s="20"/>
      <c r="N9" s="21" t="s">
        <v>158</v>
      </c>
      <c r="O9" s="22"/>
    </row>
    <row r="10" spans="2:17" x14ac:dyDescent="0.25">
      <c r="B10" s="11">
        <v>2</v>
      </c>
      <c r="C10" s="12"/>
      <c r="D10" s="13" t="s">
        <v>1196</v>
      </c>
      <c r="E10" s="14" t="s">
        <v>1197</v>
      </c>
      <c r="F10" s="15" t="s">
        <v>1198</v>
      </c>
      <c r="G10" s="16">
        <v>46148</v>
      </c>
      <c r="H10" s="16">
        <v>46161</v>
      </c>
      <c r="I10" s="23">
        <v>430200</v>
      </c>
      <c r="J10" s="18">
        <v>200000</v>
      </c>
      <c r="K10" s="19"/>
      <c r="L10" s="24"/>
      <c r="M10" s="24"/>
      <c r="N10" s="22" t="s">
        <v>158</v>
      </c>
      <c r="O10" s="22"/>
    </row>
    <row r="11" spans="2:17" x14ac:dyDescent="0.25">
      <c r="B11" s="11">
        <v>3</v>
      </c>
      <c r="C11" s="12"/>
      <c r="D11" s="13" t="s">
        <v>1199</v>
      </c>
      <c r="E11" s="14" t="s">
        <v>1200</v>
      </c>
      <c r="F11" s="15" t="s">
        <v>1113</v>
      </c>
      <c r="G11" s="16">
        <v>46175</v>
      </c>
      <c r="H11" s="16">
        <v>46188</v>
      </c>
      <c r="I11" s="23">
        <v>442300</v>
      </c>
      <c r="J11" s="18">
        <f t="shared" ref="J11" si="0">I11</f>
        <v>442300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1201</v>
      </c>
      <c r="E12" s="14" t="s">
        <v>162</v>
      </c>
      <c r="F12" s="15" t="s">
        <v>163</v>
      </c>
      <c r="G12" s="16">
        <v>46176</v>
      </c>
      <c r="H12" s="16">
        <v>46189</v>
      </c>
      <c r="I12" s="23">
        <v>328700</v>
      </c>
      <c r="J12" s="18">
        <v>150000</v>
      </c>
      <c r="K12" s="19"/>
      <c r="L12" s="24"/>
      <c r="M12" s="24"/>
      <c r="N12" s="22" t="s">
        <v>158</v>
      </c>
      <c r="O12" s="22"/>
    </row>
    <row r="13" spans="2:17" x14ac:dyDescent="0.25">
      <c r="B13" s="11">
        <v>5</v>
      </c>
      <c r="C13" s="12"/>
      <c r="D13" s="13" t="s">
        <v>1202</v>
      </c>
      <c r="E13" s="14" t="s">
        <v>174</v>
      </c>
      <c r="F13" s="15" t="s">
        <v>175</v>
      </c>
      <c r="G13" s="16">
        <v>46176</v>
      </c>
      <c r="H13" s="16">
        <v>46189</v>
      </c>
      <c r="I13" s="23">
        <v>430200</v>
      </c>
      <c r="J13" s="18">
        <v>230200</v>
      </c>
      <c r="K13" s="19"/>
      <c r="L13" s="24"/>
      <c r="M13" s="24"/>
      <c r="N13" s="22" t="s">
        <v>158</v>
      </c>
      <c r="O13" s="22"/>
    </row>
    <row r="14" spans="2:17" x14ac:dyDescent="0.25">
      <c r="B14" s="11">
        <v>6</v>
      </c>
      <c r="C14" s="12"/>
      <c r="D14" s="13" t="s">
        <v>1203</v>
      </c>
      <c r="E14" s="14" t="s">
        <v>172</v>
      </c>
      <c r="F14" s="15" t="s">
        <v>163</v>
      </c>
      <c r="G14" s="16">
        <v>46176</v>
      </c>
      <c r="H14" s="16">
        <v>46189</v>
      </c>
      <c r="I14" s="23">
        <v>380000</v>
      </c>
      <c r="J14" s="18"/>
      <c r="K14" s="19"/>
      <c r="L14" s="24">
        <f t="shared" ref="L14" si="1">I14</f>
        <v>380000</v>
      </c>
      <c r="M14" s="24"/>
      <c r="N14" s="22" t="s">
        <v>155</v>
      </c>
      <c r="O14" s="22"/>
    </row>
    <row r="15" spans="2:17" ht="15.75" x14ac:dyDescent="0.25">
      <c r="B15" s="169" t="s">
        <v>13</v>
      </c>
      <c r="C15" s="170"/>
      <c r="D15" s="170"/>
      <c r="E15" s="170"/>
      <c r="F15" s="170"/>
      <c r="G15" s="170"/>
      <c r="H15" s="170"/>
      <c r="I15" s="171"/>
      <c r="J15" s="25">
        <f>SUM(J9:J14)</f>
        <v>1322500</v>
      </c>
      <c r="K15" s="26">
        <f>SUM(K9:K14)</f>
        <v>0</v>
      </c>
      <c r="L15" s="27">
        <f>SUM(L9:L14)</f>
        <v>380000</v>
      </c>
      <c r="M15" s="28">
        <f>SUM(M9:M14)</f>
        <v>0</v>
      </c>
      <c r="N15" s="29"/>
      <c r="O15" s="30">
        <f>SUM(J15+K15+L15+M15)</f>
        <v>1702500</v>
      </c>
    </row>
    <row r="16" spans="2:17" ht="15.75" x14ac:dyDescent="0.25">
      <c r="B16" s="190"/>
      <c r="C16" s="191"/>
      <c r="D16" s="191"/>
      <c r="E16" s="191"/>
      <c r="F16" s="191"/>
      <c r="G16" s="191"/>
      <c r="H16" s="191"/>
      <c r="I16" s="191"/>
      <c r="J16" s="191"/>
      <c r="K16" s="191"/>
      <c r="L16" s="191"/>
      <c r="M16" s="191"/>
      <c r="N16" s="191"/>
      <c r="O16" s="191"/>
    </row>
    <row r="17" spans="2:15" x14ac:dyDescent="0.25">
      <c r="B17" s="11">
        <v>1</v>
      </c>
      <c r="C17" s="31" t="s">
        <v>20</v>
      </c>
      <c r="D17" s="13" t="s">
        <v>1204</v>
      </c>
      <c r="E17" s="32" t="s">
        <v>1205</v>
      </c>
      <c r="F17" s="33" t="s">
        <v>75</v>
      </c>
      <c r="G17" s="34">
        <v>46161</v>
      </c>
      <c r="H17" s="35">
        <v>46161</v>
      </c>
      <c r="I17" s="36">
        <v>430200</v>
      </c>
      <c r="J17" s="37">
        <f>I17</f>
        <v>430200</v>
      </c>
      <c r="K17" s="19"/>
      <c r="L17" s="24"/>
      <c r="M17" s="24"/>
      <c r="N17" s="22" t="s">
        <v>155</v>
      </c>
      <c r="O17" s="22"/>
    </row>
    <row r="18" spans="2:15" x14ac:dyDescent="0.25">
      <c r="B18" s="11">
        <v>2</v>
      </c>
      <c r="C18" s="31"/>
      <c r="D18" s="13" t="s">
        <v>1206</v>
      </c>
      <c r="E18" s="32" t="s">
        <v>1207</v>
      </c>
      <c r="F18" s="33" t="s">
        <v>66</v>
      </c>
      <c r="G18" s="34">
        <v>46161</v>
      </c>
      <c r="H18" s="35">
        <v>46161</v>
      </c>
      <c r="I18" s="36">
        <v>430200</v>
      </c>
      <c r="J18" s="37">
        <f t="shared" ref="J18:J24" si="2">I18</f>
        <v>430200</v>
      </c>
      <c r="K18" s="19"/>
      <c r="L18" s="24"/>
      <c r="M18" s="24"/>
      <c r="N18" s="22" t="s">
        <v>155</v>
      </c>
      <c r="O18" s="22"/>
    </row>
    <row r="19" spans="2:15" x14ac:dyDescent="0.25">
      <c r="B19" s="11">
        <v>3</v>
      </c>
      <c r="C19" s="31"/>
      <c r="D19" s="13" t="s">
        <v>1132</v>
      </c>
      <c r="E19" s="32" t="s">
        <v>81</v>
      </c>
      <c r="F19" s="33" t="s">
        <v>75</v>
      </c>
      <c r="G19" s="34">
        <v>46175</v>
      </c>
      <c r="H19" s="35">
        <v>46175</v>
      </c>
      <c r="I19" s="36">
        <v>500000</v>
      </c>
      <c r="J19" s="37">
        <f t="shared" si="2"/>
        <v>500000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4</v>
      </c>
      <c r="C20" s="31"/>
      <c r="D20" s="13" t="s">
        <v>1208</v>
      </c>
      <c r="E20" s="32" t="s">
        <v>1209</v>
      </c>
      <c r="F20" s="33" t="s">
        <v>93</v>
      </c>
      <c r="G20" s="34">
        <v>46175</v>
      </c>
      <c r="H20" s="35">
        <v>46175</v>
      </c>
      <c r="I20" s="36">
        <v>215100</v>
      </c>
      <c r="J20" s="37">
        <f t="shared" si="2"/>
        <v>215100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5</v>
      </c>
      <c r="C21" s="31"/>
      <c r="D21" s="13" t="s">
        <v>1210</v>
      </c>
      <c r="E21" s="32" t="s">
        <v>189</v>
      </c>
      <c r="F21" s="33" t="s">
        <v>190</v>
      </c>
      <c r="G21" s="34">
        <v>46176</v>
      </c>
      <c r="H21" s="35">
        <v>46176</v>
      </c>
      <c r="I21" s="36">
        <v>328700</v>
      </c>
      <c r="J21" s="37">
        <f t="shared" si="2"/>
        <v>328700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6</v>
      </c>
      <c r="C22" s="31"/>
      <c r="D22" s="13" t="s">
        <v>1211</v>
      </c>
      <c r="E22" s="32" t="s">
        <v>1212</v>
      </c>
      <c r="F22" s="33" t="s">
        <v>190</v>
      </c>
      <c r="G22" s="34">
        <v>46176</v>
      </c>
      <c r="H22" s="35">
        <v>46176</v>
      </c>
      <c r="I22" s="36">
        <v>568000</v>
      </c>
      <c r="J22" s="37">
        <f t="shared" si="2"/>
        <v>568000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7</v>
      </c>
      <c r="C23" s="31"/>
      <c r="D23" s="13" t="s">
        <v>1213</v>
      </c>
      <c r="E23" s="32" t="s">
        <v>194</v>
      </c>
      <c r="F23" s="33" t="s">
        <v>195</v>
      </c>
      <c r="G23" s="34">
        <v>46176</v>
      </c>
      <c r="H23" s="35">
        <v>46176</v>
      </c>
      <c r="I23" s="36">
        <v>430200</v>
      </c>
      <c r="J23" s="37">
        <f>I23</f>
        <v>430200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8</v>
      </c>
      <c r="C24" s="31"/>
      <c r="D24" s="13" t="s">
        <v>198</v>
      </c>
      <c r="E24" s="32" t="s">
        <v>199</v>
      </c>
      <c r="F24" s="33" t="s">
        <v>187</v>
      </c>
      <c r="G24" s="34">
        <v>46162</v>
      </c>
      <c r="H24" s="35">
        <v>46162</v>
      </c>
      <c r="I24" s="36">
        <v>243800</v>
      </c>
      <c r="J24" s="37">
        <f t="shared" si="2"/>
        <v>243800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9</v>
      </c>
      <c r="C25" s="31" t="s">
        <v>3</v>
      </c>
      <c r="D25" s="13" t="s">
        <v>1214</v>
      </c>
      <c r="E25" s="32" t="s">
        <v>194</v>
      </c>
      <c r="F25" s="33" t="s">
        <v>195</v>
      </c>
      <c r="G25" s="34">
        <v>46176</v>
      </c>
      <c r="H25" s="35">
        <v>46176</v>
      </c>
      <c r="I25" s="36">
        <v>69498</v>
      </c>
      <c r="J25" s="37"/>
      <c r="K25" s="19"/>
      <c r="L25" s="24">
        <f>I25</f>
        <v>69498</v>
      </c>
      <c r="M25" s="24"/>
      <c r="N25" s="22" t="s">
        <v>155</v>
      </c>
      <c r="O25" s="22"/>
    </row>
    <row r="26" spans="2:15" x14ac:dyDescent="0.25">
      <c r="B26" s="11">
        <v>10</v>
      </c>
      <c r="C26" s="31"/>
      <c r="D26" s="13" t="s">
        <v>1215</v>
      </c>
      <c r="E26" s="32" t="s">
        <v>199</v>
      </c>
      <c r="F26" s="33" t="s">
        <v>187</v>
      </c>
      <c r="G26" s="34">
        <v>46176</v>
      </c>
      <c r="H26" s="35">
        <v>46176</v>
      </c>
      <c r="I26" s="36">
        <v>122556</v>
      </c>
      <c r="J26" s="37"/>
      <c r="K26" s="19"/>
      <c r="L26" s="24">
        <f t="shared" ref="L26:L27" si="3">I26</f>
        <v>122556</v>
      </c>
      <c r="M26" s="24"/>
      <c r="N26" s="22" t="s">
        <v>155</v>
      </c>
      <c r="O26" s="22"/>
    </row>
    <row r="27" spans="2:15" x14ac:dyDescent="0.25">
      <c r="B27" s="11">
        <v>11</v>
      </c>
      <c r="C27" s="31"/>
      <c r="D27" s="13" t="s">
        <v>1216</v>
      </c>
      <c r="E27" s="32" t="s">
        <v>189</v>
      </c>
      <c r="F27" s="33" t="s">
        <v>190</v>
      </c>
      <c r="G27" s="34">
        <v>46176</v>
      </c>
      <c r="H27" s="35">
        <v>46176</v>
      </c>
      <c r="I27" s="36">
        <v>111000</v>
      </c>
      <c r="J27" s="37"/>
      <c r="K27" s="19"/>
      <c r="L27" s="24">
        <f t="shared" si="3"/>
        <v>111000</v>
      </c>
      <c r="M27" s="24"/>
      <c r="N27" s="22" t="s">
        <v>155</v>
      </c>
      <c r="O27" s="22"/>
    </row>
    <row r="28" spans="2:15" ht="15.75" x14ac:dyDescent="0.25">
      <c r="B28" s="192" t="s">
        <v>13</v>
      </c>
      <c r="C28" s="193"/>
      <c r="D28" s="193"/>
      <c r="E28" s="193"/>
      <c r="F28" s="193"/>
      <c r="G28" s="193"/>
      <c r="H28" s="193"/>
      <c r="I28" s="194"/>
      <c r="J28" s="38">
        <f>SUM(J17:J27)</f>
        <v>3146200</v>
      </c>
      <c r="K28" s="26">
        <f>SUM(K17:K27)</f>
        <v>0</v>
      </c>
      <c r="L28" s="27">
        <f>SUM(L17:L27)</f>
        <v>303054</v>
      </c>
      <c r="M28" s="27">
        <f>SUM(M17:M27)</f>
        <v>0</v>
      </c>
      <c r="N28" s="39"/>
      <c r="O28" s="40">
        <f>SUM(J28+K28+L28+M28)</f>
        <v>3449254</v>
      </c>
    </row>
    <row r="29" spans="2:15" ht="15.75" x14ac:dyDescent="0.25">
      <c r="B29" s="195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</row>
    <row r="30" spans="2:15" ht="15.75" x14ac:dyDescent="0.25">
      <c r="B30" s="42">
        <v>1</v>
      </c>
      <c r="C30" s="43" t="s">
        <v>21</v>
      </c>
      <c r="D30" s="44" t="s">
        <v>1217</v>
      </c>
      <c r="E30" s="45" t="s">
        <v>205</v>
      </c>
      <c r="F30" s="45" t="s">
        <v>206</v>
      </c>
      <c r="G30" s="46">
        <v>46176</v>
      </c>
      <c r="H30" s="46">
        <v>46189</v>
      </c>
      <c r="I30" s="47">
        <v>430200</v>
      </c>
      <c r="J30" s="48">
        <f>I30</f>
        <v>430200</v>
      </c>
      <c r="K30" s="49"/>
      <c r="L30" s="50"/>
      <c r="M30" s="50"/>
      <c r="N30" s="22" t="s">
        <v>155</v>
      </c>
      <c r="O30" s="42"/>
    </row>
    <row r="31" spans="2:15" ht="15.75" x14ac:dyDescent="0.25">
      <c r="B31" s="42">
        <v>2</v>
      </c>
      <c r="C31" s="43"/>
      <c r="D31" s="44" t="s">
        <v>1218</v>
      </c>
      <c r="E31" s="45" t="s">
        <v>165</v>
      </c>
      <c r="F31" s="45" t="s">
        <v>208</v>
      </c>
      <c r="G31" s="46">
        <v>46176</v>
      </c>
      <c r="H31" s="46">
        <v>46189</v>
      </c>
      <c r="I31" s="47">
        <v>328700</v>
      </c>
      <c r="J31" s="48">
        <f t="shared" ref="J31:J32" si="4">I31</f>
        <v>328700</v>
      </c>
      <c r="K31" s="49"/>
      <c r="L31" s="50"/>
      <c r="M31" s="50"/>
      <c r="N31" s="22" t="s">
        <v>155</v>
      </c>
      <c r="O31" s="42"/>
    </row>
    <row r="32" spans="2:15" ht="15.75" x14ac:dyDescent="0.25">
      <c r="B32" s="42">
        <v>3</v>
      </c>
      <c r="C32" s="43"/>
      <c r="D32" s="44" t="s">
        <v>1219</v>
      </c>
      <c r="E32" s="45" t="s">
        <v>210</v>
      </c>
      <c r="F32" s="45" t="s">
        <v>211</v>
      </c>
      <c r="G32" s="46">
        <v>46176</v>
      </c>
      <c r="H32" s="46">
        <v>46189</v>
      </c>
      <c r="I32" s="47">
        <v>860400</v>
      </c>
      <c r="J32" s="48">
        <f t="shared" si="4"/>
        <v>860400</v>
      </c>
      <c r="K32" s="49"/>
      <c r="L32" s="50"/>
      <c r="M32" s="50"/>
      <c r="N32" s="22" t="s">
        <v>155</v>
      </c>
      <c r="O32" s="42"/>
    </row>
    <row r="33" spans="2:15" ht="15.75" x14ac:dyDescent="0.25">
      <c r="B33" s="42">
        <v>4</v>
      </c>
      <c r="C33" s="43"/>
      <c r="D33" s="44" t="s">
        <v>1220</v>
      </c>
      <c r="E33" s="45" t="s">
        <v>319</v>
      </c>
      <c r="F33" s="45" t="s">
        <v>215</v>
      </c>
      <c r="G33" s="46">
        <v>46176</v>
      </c>
      <c r="H33" s="46">
        <v>46189</v>
      </c>
      <c r="I33" s="47">
        <v>209000</v>
      </c>
      <c r="J33" s="48"/>
      <c r="K33" s="49"/>
      <c r="L33" s="51">
        <f>I33</f>
        <v>209000</v>
      </c>
      <c r="M33" s="50"/>
      <c r="N33" s="22" t="s">
        <v>155</v>
      </c>
      <c r="O33" s="42"/>
    </row>
    <row r="34" spans="2:15" ht="15.75" x14ac:dyDescent="0.25">
      <c r="B34" s="42">
        <v>5</v>
      </c>
      <c r="C34" s="43"/>
      <c r="D34" s="44" t="s">
        <v>1221</v>
      </c>
      <c r="E34" s="45" t="s">
        <v>210</v>
      </c>
      <c r="F34" s="45" t="s">
        <v>211</v>
      </c>
      <c r="G34" s="46">
        <v>46176</v>
      </c>
      <c r="H34" s="46">
        <v>46189</v>
      </c>
      <c r="I34" s="47">
        <v>486780</v>
      </c>
      <c r="J34" s="48"/>
      <c r="K34" s="49"/>
      <c r="L34" s="51">
        <f t="shared" ref="L34" si="5">I34</f>
        <v>486780</v>
      </c>
      <c r="M34" s="50"/>
      <c r="N34" s="22" t="s">
        <v>155</v>
      </c>
      <c r="O34" s="42"/>
    </row>
    <row r="35" spans="2:15" ht="15.75" x14ac:dyDescent="0.25">
      <c r="B35" s="197" t="s">
        <v>13</v>
      </c>
      <c r="C35" s="198"/>
      <c r="D35" s="198"/>
      <c r="E35" s="198"/>
      <c r="F35" s="198"/>
      <c r="G35" s="198"/>
      <c r="H35" s="198"/>
      <c r="I35" s="199"/>
      <c r="J35" s="52">
        <f>SUM(J30:J34)</f>
        <v>1619300</v>
      </c>
      <c r="K35" s="53">
        <f>SUM(K30:K34)</f>
        <v>0</v>
      </c>
      <c r="L35" s="54">
        <f>SUM(L30:L34)</f>
        <v>695780</v>
      </c>
      <c r="M35" s="54">
        <f>SUM(M30:M34)</f>
        <v>0</v>
      </c>
      <c r="N35" s="55"/>
      <c r="O35" s="56">
        <f>SUM(J35+K35+L35+M35)</f>
        <v>2315080</v>
      </c>
    </row>
    <row r="36" spans="2:15" x14ac:dyDescent="0.25">
      <c r="D36" s="57"/>
      <c r="I36" s="58"/>
      <c r="J36" s="58"/>
    </row>
    <row r="37" spans="2:15" x14ac:dyDescent="0.25">
      <c r="D37" s="57"/>
      <c r="I37" s="58"/>
      <c r="J37" s="58"/>
    </row>
    <row r="38" spans="2:15" ht="15.75" x14ac:dyDescent="0.25">
      <c r="D38" s="57"/>
      <c r="G38" s="200" t="s">
        <v>22</v>
      </c>
      <c r="H38" s="200"/>
      <c r="I38" s="200"/>
      <c r="J38" s="59">
        <f>SUM(J35+J28+J15)</f>
        <v>6088000</v>
      </c>
      <c r="K38" s="26">
        <f>SUM(K35+K28+K15)</f>
        <v>0</v>
      </c>
      <c r="L38" s="60">
        <f>SUM(L35+L28+L15)</f>
        <v>1378834</v>
      </c>
      <c r="M38" s="60">
        <f>SUM(M35+M28+M15)</f>
        <v>0</v>
      </c>
      <c r="N38" s="39"/>
      <c r="O38" s="30">
        <f>SUM(J38+K38+L38+M38)</f>
        <v>7466834</v>
      </c>
    </row>
    <row r="39" spans="2:15" x14ac:dyDescent="0.25">
      <c r="D39" s="57"/>
      <c r="I39" s="58"/>
      <c r="J39" s="58"/>
    </row>
    <row r="40" spans="2:15" x14ac:dyDescent="0.25">
      <c r="B40" s="201" t="s">
        <v>17</v>
      </c>
      <c r="C40" s="201"/>
      <c r="D40" s="201"/>
      <c r="I40" s="58"/>
      <c r="J40" s="58"/>
    </row>
    <row r="41" spans="2:15" ht="15.75" x14ac:dyDescent="0.25">
      <c r="B41" s="188" t="s">
        <v>4</v>
      </c>
      <c r="C41" s="202" t="s">
        <v>23</v>
      </c>
      <c r="D41" s="188" t="s">
        <v>6</v>
      </c>
      <c r="E41" s="188" t="s">
        <v>7</v>
      </c>
      <c r="F41" s="188" t="s">
        <v>8</v>
      </c>
      <c r="G41" s="188" t="s">
        <v>9</v>
      </c>
      <c r="H41" s="188" t="s">
        <v>10</v>
      </c>
      <c r="I41" s="202" t="s">
        <v>24</v>
      </c>
      <c r="J41" s="169" t="s">
        <v>12</v>
      </c>
      <c r="K41" s="170"/>
      <c r="L41" s="170"/>
      <c r="M41" s="170"/>
      <c r="N41" s="171"/>
      <c r="O41" s="204" t="s">
        <v>13</v>
      </c>
    </row>
    <row r="42" spans="2:15" ht="15.75" x14ac:dyDescent="0.25">
      <c r="B42" s="189"/>
      <c r="C42" s="203"/>
      <c r="D42" s="189"/>
      <c r="E42" s="189"/>
      <c r="F42" s="189"/>
      <c r="G42" s="189"/>
      <c r="H42" s="189"/>
      <c r="I42" s="203"/>
      <c r="J42" s="164" t="s">
        <v>14</v>
      </c>
      <c r="K42" s="165"/>
      <c r="L42" s="166" t="s">
        <v>15</v>
      </c>
      <c r="M42" s="167"/>
      <c r="N42" s="4" t="s">
        <v>16</v>
      </c>
      <c r="O42" s="205"/>
    </row>
    <row r="43" spans="2:15" ht="15.75" x14ac:dyDescent="0.25">
      <c r="B43" s="5"/>
      <c r="C43" s="61"/>
      <c r="D43" s="5"/>
      <c r="E43" s="5"/>
      <c r="F43" s="5"/>
      <c r="G43" s="5"/>
      <c r="H43" s="5"/>
      <c r="I43" s="61"/>
      <c r="J43" s="62" t="s">
        <v>17</v>
      </c>
      <c r="K43" s="6" t="s">
        <v>18</v>
      </c>
      <c r="L43" s="10" t="s">
        <v>17</v>
      </c>
      <c r="M43" s="10" t="s">
        <v>18</v>
      </c>
      <c r="N43" s="4"/>
      <c r="O43" s="7"/>
    </row>
    <row r="44" spans="2:15" ht="15" customHeight="1" x14ac:dyDescent="0.25">
      <c r="B44" s="63">
        <v>1</v>
      </c>
      <c r="C44" s="43" t="s">
        <v>154</v>
      </c>
      <c r="D44" s="64" t="s">
        <v>1222</v>
      </c>
      <c r="E44" s="65" t="s">
        <v>780</v>
      </c>
      <c r="F44" s="65" t="s">
        <v>781</v>
      </c>
      <c r="G44" s="66">
        <v>46189</v>
      </c>
      <c r="H44" s="66"/>
      <c r="I44" s="67">
        <v>860000</v>
      </c>
      <c r="J44" s="37">
        <f>I44</f>
        <v>860000</v>
      </c>
      <c r="K44" s="68"/>
      <c r="L44" s="69"/>
      <c r="M44" s="69"/>
      <c r="N44" s="22" t="s">
        <v>155</v>
      </c>
      <c r="O44" s="70"/>
    </row>
    <row r="45" spans="2:15" ht="15" customHeight="1" x14ac:dyDescent="0.25">
      <c r="B45" s="63">
        <v>2</v>
      </c>
      <c r="C45" s="43" t="s">
        <v>154</v>
      </c>
      <c r="D45" s="71" t="s">
        <v>1223</v>
      </c>
      <c r="E45" s="71" t="s">
        <v>780</v>
      </c>
      <c r="F45" s="70" t="s">
        <v>781</v>
      </c>
      <c r="G45" s="66">
        <v>46189</v>
      </c>
      <c r="H45" s="72"/>
      <c r="I45" s="22">
        <v>127556</v>
      </c>
      <c r="J45" s="37"/>
      <c r="K45" s="68"/>
      <c r="L45" s="24">
        <f>I45</f>
        <v>127556</v>
      </c>
      <c r="M45" s="69"/>
      <c r="N45" s="22" t="s">
        <v>155</v>
      </c>
      <c r="O45" s="70"/>
    </row>
    <row r="46" spans="2:15" ht="15" customHeight="1" x14ac:dyDescent="0.25">
      <c r="B46" s="63">
        <v>3</v>
      </c>
      <c r="C46" s="43" t="s">
        <v>154</v>
      </c>
      <c r="D46" s="71" t="s">
        <v>1224</v>
      </c>
      <c r="E46" s="71" t="s">
        <v>112</v>
      </c>
      <c r="F46" s="70" t="s">
        <v>110</v>
      </c>
      <c r="G46" s="66">
        <v>46189</v>
      </c>
      <c r="H46" s="72"/>
      <c r="I46" s="22">
        <v>1608900</v>
      </c>
      <c r="J46" s="37">
        <f>I46</f>
        <v>1608900</v>
      </c>
      <c r="K46" s="68"/>
      <c r="L46" s="24"/>
      <c r="M46" s="69"/>
      <c r="N46" s="22" t="s">
        <v>155</v>
      </c>
      <c r="O46" s="70"/>
    </row>
    <row r="47" spans="2:15" ht="15" customHeight="1" x14ac:dyDescent="0.25">
      <c r="B47" s="63">
        <v>4</v>
      </c>
      <c r="C47" s="43" t="s">
        <v>154</v>
      </c>
      <c r="D47" s="71" t="s">
        <v>1225</v>
      </c>
      <c r="E47" s="71" t="s">
        <v>227</v>
      </c>
      <c r="F47" s="70" t="s">
        <v>1226</v>
      </c>
      <c r="G47" s="66">
        <v>46189</v>
      </c>
      <c r="H47" s="72"/>
      <c r="I47" s="22">
        <v>130500</v>
      </c>
      <c r="J47" s="37"/>
      <c r="K47" s="68"/>
      <c r="L47" s="24">
        <v>130500</v>
      </c>
      <c r="M47" s="69"/>
      <c r="N47" s="22" t="s">
        <v>155</v>
      </c>
      <c r="O47" s="70"/>
    </row>
    <row r="48" spans="2:15" ht="15" customHeight="1" x14ac:dyDescent="0.25">
      <c r="B48" s="63">
        <v>5</v>
      </c>
      <c r="C48" s="12" t="s">
        <v>243</v>
      </c>
      <c r="D48" s="71" t="s">
        <v>1227</v>
      </c>
      <c r="E48" s="71" t="s">
        <v>1228</v>
      </c>
      <c r="F48" s="70" t="s">
        <v>268</v>
      </c>
      <c r="G48" s="66">
        <v>46188</v>
      </c>
      <c r="H48" s="72"/>
      <c r="I48" s="22">
        <v>215100</v>
      </c>
      <c r="J48" s="73">
        <f>I48</f>
        <v>215100</v>
      </c>
      <c r="K48" s="68"/>
      <c r="L48" s="69"/>
      <c r="M48" s="69"/>
      <c r="N48" s="22" t="s">
        <v>155</v>
      </c>
      <c r="O48" s="70"/>
    </row>
    <row r="49" spans="1:15" ht="15" customHeight="1" x14ac:dyDescent="0.25">
      <c r="B49" s="63">
        <v>6</v>
      </c>
      <c r="C49" s="12" t="s">
        <v>243</v>
      </c>
      <c r="D49" s="71" t="s">
        <v>1229</v>
      </c>
      <c r="E49" s="71" t="s">
        <v>1230</v>
      </c>
      <c r="F49" s="70" t="s">
        <v>93</v>
      </c>
      <c r="G49" s="66">
        <v>46188</v>
      </c>
      <c r="H49" s="72"/>
      <c r="I49" s="22">
        <v>171390</v>
      </c>
      <c r="J49" s="73"/>
      <c r="K49" s="68"/>
      <c r="L49" s="24">
        <f>I49</f>
        <v>171390</v>
      </c>
      <c r="M49" s="69"/>
      <c r="N49" s="22" t="s">
        <v>155</v>
      </c>
      <c r="O49" s="70"/>
    </row>
    <row r="50" spans="1:15" ht="15" customHeight="1" x14ac:dyDescent="0.25">
      <c r="B50" s="63">
        <v>7</v>
      </c>
      <c r="C50" s="12" t="s">
        <v>243</v>
      </c>
      <c r="D50" s="71" t="s">
        <v>1231</v>
      </c>
      <c r="E50" s="71" t="s">
        <v>1228</v>
      </c>
      <c r="F50" s="70" t="s">
        <v>268</v>
      </c>
      <c r="G50" s="66">
        <v>46188</v>
      </c>
      <c r="H50" s="72"/>
      <c r="I50" s="22">
        <v>385000</v>
      </c>
      <c r="J50" s="73"/>
      <c r="K50" s="68"/>
      <c r="L50" s="24">
        <f>I50</f>
        <v>385000</v>
      </c>
      <c r="M50" s="69"/>
      <c r="N50" s="22" t="s">
        <v>155</v>
      </c>
      <c r="O50" s="70"/>
    </row>
    <row r="51" spans="1:15" ht="15.75" x14ac:dyDescent="0.25">
      <c r="B51" s="169" t="s">
        <v>25</v>
      </c>
      <c r="C51" s="170"/>
      <c r="D51" s="170"/>
      <c r="E51" s="170"/>
      <c r="F51" s="170"/>
      <c r="G51" s="170"/>
      <c r="H51" s="170"/>
      <c r="I51" s="171"/>
      <c r="J51" s="25">
        <f>SUM(J44:J50)</f>
        <v>2684000</v>
      </c>
      <c r="K51" s="74">
        <f>SUM(K44:K50)</f>
        <v>0</v>
      </c>
      <c r="L51" s="60">
        <f>SUM(L44:L50)</f>
        <v>814446</v>
      </c>
      <c r="M51" s="60">
        <f>SUM(M44:M50)</f>
        <v>0</v>
      </c>
      <c r="N51" s="39"/>
      <c r="O51" s="75">
        <f>SUM(J51+K51+L51+M51)</f>
        <v>3498446</v>
      </c>
    </row>
    <row r="52" spans="1:15" ht="15.75" hidden="1" x14ac:dyDescent="0.25">
      <c r="B52" s="172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</row>
    <row r="53" spans="1:15" hidden="1" x14ac:dyDescent="0.25">
      <c r="B53" s="44">
        <v>1</v>
      </c>
      <c r="C53" s="12"/>
      <c r="D53" s="71"/>
      <c r="E53" s="71"/>
      <c r="F53" s="70"/>
      <c r="G53" s="66"/>
      <c r="H53" s="72"/>
      <c r="I53" s="22"/>
      <c r="J53" s="73"/>
      <c r="K53" s="68"/>
      <c r="L53" s="69"/>
      <c r="M53" s="69"/>
      <c r="N53" s="22"/>
      <c r="O53" s="70"/>
    </row>
    <row r="54" spans="1:15" hidden="1" x14ac:dyDescent="0.25">
      <c r="B54" s="44">
        <v>2</v>
      </c>
      <c r="C54" s="12"/>
      <c r="D54" s="71"/>
      <c r="E54" s="71"/>
      <c r="F54" s="70"/>
      <c r="G54" s="66"/>
      <c r="H54" s="72"/>
      <c r="I54" s="22"/>
      <c r="J54" s="73"/>
      <c r="K54" s="68"/>
      <c r="L54" s="24"/>
      <c r="M54" s="24"/>
      <c r="N54" s="22"/>
      <c r="O54" s="70"/>
    </row>
    <row r="55" spans="1:15" ht="15.75" hidden="1" x14ac:dyDescent="0.25">
      <c r="A55" t="s">
        <v>3</v>
      </c>
      <c r="B55" s="169" t="s">
        <v>25</v>
      </c>
      <c r="C55" s="170"/>
      <c r="D55" s="170"/>
      <c r="E55" s="170"/>
      <c r="F55" s="170"/>
      <c r="G55" s="170"/>
      <c r="H55" s="170"/>
      <c r="I55" s="171"/>
      <c r="J55" s="76">
        <f>SUM(J53:J54)</f>
        <v>0</v>
      </c>
      <c r="K55" s="74">
        <f>SUM(K53:K54)</f>
        <v>0</v>
      </c>
      <c r="L55" s="60">
        <f>SUM(L53:L54)</f>
        <v>0</v>
      </c>
      <c r="M55" s="60">
        <f>SUM(M53:M54)</f>
        <v>0</v>
      </c>
      <c r="N55" s="39"/>
      <c r="O55" s="75">
        <f>SUM(J55+K55+L55+M55)</f>
        <v>0</v>
      </c>
    </row>
    <row r="56" spans="1:15" x14ac:dyDescent="0.25">
      <c r="D56" s="57"/>
      <c r="I56" s="58"/>
      <c r="J56" s="58"/>
    </row>
    <row r="57" spans="1:15" ht="15.75" x14ac:dyDescent="0.25">
      <c r="D57" s="57"/>
      <c r="G57" s="162" t="s">
        <v>1646</v>
      </c>
      <c r="H57" s="162"/>
      <c r="I57" s="163"/>
      <c r="J57" s="25">
        <f>SUM(J55+J51)</f>
        <v>2684000</v>
      </c>
      <c r="K57" s="74">
        <f>SUM(K55+K51)</f>
        <v>0</v>
      </c>
      <c r="L57" s="60">
        <f>SUM(L55+L51)</f>
        <v>814446</v>
      </c>
      <c r="M57" s="60">
        <f>SUM(M55+M51)</f>
        <v>0</v>
      </c>
      <c r="N57" s="39"/>
      <c r="O57" s="77">
        <f>SUM(J57+K57+L57+M57)</f>
        <v>3498446</v>
      </c>
    </row>
    <row r="58" spans="1:15" ht="15.75" x14ac:dyDescent="0.25">
      <c r="D58" s="57"/>
      <c r="H58" s="41"/>
      <c r="I58" s="41"/>
      <c r="J58" s="41"/>
      <c r="K58" s="78"/>
      <c r="L58" s="78"/>
      <c r="M58" s="78"/>
      <c r="N58" s="79"/>
      <c r="O58" s="80"/>
    </row>
    <row r="59" spans="1:15" ht="15.75" x14ac:dyDescent="0.25">
      <c r="D59" s="57"/>
      <c r="H59" s="174" t="s">
        <v>27</v>
      </c>
      <c r="I59" s="175"/>
      <c r="J59" s="180" t="s">
        <v>14</v>
      </c>
      <c r="K59" s="180"/>
      <c r="L59" s="181" t="s">
        <v>15</v>
      </c>
      <c r="M59" s="181"/>
      <c r="N59" s="70"/>
      <c r="O59" s="182"/>
    </row>
    <row r="60" spans="1:15" ht="15.75" x14ac:dyDescent="0.25">
      <c r="D60" s="57"/>
      <c r="H60" s="176"/>
      <c r="I60" s="177"/>
      <c r="J60" s="6" t="s">
        <v>17</v>
      </c>
      <c r="K60" s="81" t="s">
        <v>18</v>
      </c>
      <c r="L60" s="82" t="s">
        <v>17</v>
      </c>
      <c r="M60" s="82" t="s">
        <v>18</v>
      </c>
      <c r="N60" s="70"/>
      <c r="O60" s="182"/>
    </row>
    <row r="61" spans="1:15" ht="15.75" x14ac:dyDescent="0.25">
      <c r="D61" s="57"/>
      <c r="H61" s="178"/>
      <c r="I61" s="179"/>
      <c r="J61" s="74">
        <f>SUM(J38,J57)</f>
        <v>8772000</v>
      </c>
      <c r="K61" s="74">
        <f>SUM(K57+K38)</f>
        <v>0</v>
      </c>
      <c r="L61" s="60">
        <f>SUM(L57+L38)</f>
        <v>2193280</v>
      </c>
      <c r="M61" s="60">
        <f>SUM(M57+M38)</f>
        <v>0</v>
      </c>
      <c r="N61" s="39"/>
      <c r="O61" s="182"/>
    </row>
    <row r="62" spans="1:15" x14ac:dyDescent="0.25">
      <c r="D62" s="57"/>
      <c r="I62" s="58"/>
      <c r="J62" s="58"/>
    </row>
    <row r="63" spans="1:15" ht="18.75" x14ac:dyDescent="0.3">
      <c r="D63" s="57"/>
      <c r="H63" s="183"/>
      <c r="I63" s="183"/>
      <c r="J63" s="83"/>
      <c r="L63" s="184" t="s">
        <v>28</v>
      </c>
      <c r="M63" s="185"/>
      <c r="N63" s="84">
        <f>SUM(J61+L61)</f>
        <v>10965280</v>
      </c>
      <c r="O63" s="186">
        <f>SUM(N63+N64)</f>
        <v>10965280</v>
      </c>
    </row>
    <row r="64" spans="1:15" ht="18.75" x14ac:dyDescent="0.3">
      <c r="D64" s="57"/>
      <c r="H64" s="183"/>
      <c r="I64" s="183"/>
      <c r="J64" s="83"/>
      <c r="L64" s="184" t="s">
        <v>29</v>
      </c>
      <c r="M64" s="185"/>
      <c r="N64" s="84">
        <f>SUM(K61+M61)</f>
        <v>0</v>
      </c>
      <c r="O64" s="187"/>
    </row>
    <row r="65" spans="4:11" ht="18.75" x14ac:dyDescent="0.3">
      <c r="D65" s="57"/>
      <c r="H65" s="168"/>
      <c r="I65" s="168"/>
      <c r="J65" s="85"/>
      <c r="K65" s="86"/>
    </row>
    <row r="66" spans="4:11" x14ac:dyDescent="0.25">
      <c r="D66" s="2" t="s">
        <v>30</v>
      </c>
      <c r="E66" s="1"/>
      <c r="F66" s="1"/>
      <c r="G66" s="1"/>
      <c r="H66" s="1"/>
      <c r="I66" s="1"/>
      <c r="J66" s="1"/>
      <c r="K66" s="1"/>
    </row>
    <row r="67" spans="4:11" x14ac:dyDescent="0.25">
      <c r="D67" s="2"/>
      <c r="E67" s="1"/>
      <c r="F67" s="1"/>
      <c r="G67" s="1"/>
      <c r="H67" s="1"/>
      <c r="I67" s="1"/>
      <c r="J67" s="1"/>
      <c r="K67" s="1"/>
    </row>
    <row r="68" spans="4:11" x14ac:dyDescent="0.25">
      <c r="D68" s="3" t="s">
        <v>31</v>
      </c>
      <c r="E68" s="3"/>
      <c r="F68" s="3" t="s">
        <v>32</v>
      </c>
      <c r="G68" s="3"/>
      <c r="H68" s="3" t="s">
        <v>33</v>
      </c>
      <c r="I68" s="3"/>
      <c r="J68" s="3" t="s">
        <v>34</v>
      </c>
      <c r="K68" s="3"/>
    </row>
    <row r="69" spans="4:11" x14ac:dyDescent="0.25">
      <c r="D69" s="3"/>
      <c r="E69" s="3"/>
      <c r="F69" s="3"/>
      <c r="G69" s="3"/>
      <c r="H69" s="3"/>
      <c r="I69" s="3"/>
      <c r="J69" s="3"/>
      <c r="K69" s="3"/>
    </row>
    <row r="70" spans="4:11" x14ac:dyDescent="0.25">
      <c r="D70" s="3"/>
      <c r="E70" s="3"/>
      <c r="F70" s="3"/>
      <c r="G70" s="3"/>
      <c r="H70" s="3"/>
      <c r="I70" s="3"/>
      <c r="J70" s="3"/>
      <c r="K70" s="3"/>
    </row>
    <row r="71" spans="4:11" x14ac:dyDescent="0.25">
      <c r="D71" s="3"/>
      <c r="E71" s="3"/>
      <c r="F71" s="3"/>
      <c r="G71" s="3"/>
      <c r="H71" s="3"/>
      <c r="I71" s="3"/>
      <c r="J71" s="3"/>
      <c r="K71" s="3"/>
    </row>
    <row r="72" spans="4:11" x14ac:dyDescent="0.25">
      <c r="D72" s="3" t="s">
        <v>35</v>
      </c>
      <c r="E72" s="3"/>
      <c r="F72" s="3" t="s">
        <v>36</v>
      </c>
      <c r="G72" s="3"/>
      <c r="H72" s="3" t="s">
        <v>36</v>
      </c>
      <c r="I72" s="3"/>
      <c r="J72" s="3" t="s">
        <v>37</v>
      </c>
      <c r="K72" s="3"/>
    </row>
    <row r="73" spans="4:11" x14ac:dyDescent="0.25">
      <c r="D73" s="57"/>
    </row>
    <row r="74" spans="4:11" x14ac:dyDescent="0.25">
      <c r="D74" s="57"/>
    </row>
    <row r="75" spans="4:11" x14ac:dyDescent="0.25">
      <c r="D75" s="57"/>
    </row>
    <row r="76" spans="4:11" x14ac:dyDescent="0.25">
      <c r="D76" s="57"/>
    </row>
    <row r="77" spans="4:11" x14ac:dyDescent="0.25">
      <c r="D77" s="57"/>
    </row>
  </sheetData>
  <mergeCells count="48">
    <mergeCell ref="B15:I15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41:G42"/>
    <mergeCell ref="B16:O16"/>
    <mergeCell ref="B28:I28"/>
    <mergeCell ref="B29:O29"/>
    <mergeCell ref="B35:I35"/>
    <mergeCell ref="G38:I38"/>
    <mergeCell ref="B40:D40"/>
    <mergeCell ref="B41:B42"/>
    <mergeCell ref="C41:C42"/>
    <mergeCell ref="D41:D42"/>
    <mergeCell ref="E41:E42"/>
    <mergeCell ref="F41:F42"/>
    <mergeCell ref="H41:H42"/>
    <mergeCell ref="I41:I42"/>
    <mergeCell ref="J41:N41"/>
    <mergeCell ref="O41:O42"/>
    <mergeCell ref="G57:I57"/>
    <mergeCell ref="J42:K42"/>
    <mergeCell ref="L42:M42"/>
    <mergeCell ref="H65:I65"/>
    <mergeCell ref="B51:I51"/>
    <mergeCell ref="B52:O52"/>
    <mergeCell ref="B55:I55"/>
    <mergeCell ref="H59:I61"/>
    <mergeCell ref="J59:K59"/>
    <mergeCell ref="L59:M59"/>
    <mergeCell ref="O59:O61"/>
    <mergeCell ref="H63:I63"/>
    <mergeCell ref="L63:M63"/>
    <mergeCell ref="O63:O64"/>
    <mergeCell ref="H64:I64"/>
    <mergeCell ref="L64:M64"/>
  </mergeCells>
  <pageMargins left="0" right="0" top="0" bottom="0" header="0" footer="0"/>
  <pageSetup paperSize="9" scale="55" orientation="landscape" horizontalDpi="4294967293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4D63-E4F4-4185-89C1-F9BF642BD468}">
  <dimension ref="A2:Q90"/>
  <sheetViews>
    <sheetView topLeftCell="A55" workbookViewId="0">
      <selection activeCell="G70" sqref="G70:I70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1232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164</v>
      </c>
      <c r="E9" s="14" t="s">
        <v>165</v>
      </c>
      <c r="F9" s="15" t="s">
        <v>163</v>
      </c>
      <c r="G9" s="16">
        <v>46148</v>
      </c>
      <c r="H9" s="16">
        <v>46161</v>
      </c>
      <c r="I9" s="17">
        <v>93000</v>
      </c>
      <c r="J9" s="18">
        <f>I9</f>
        <v>93000</v>
      </c>
      <c r="K9" s="19"/>
      <c r="L9" s="20"/>
      <c r="M9" s="20"/>
      <c r="N9" s="21" t="s">
        <v>155</v>
      </c>
      <c r="O9" s="22"/>
    </row>
    <row r="10" spans="2:17" x14ac:dyDescent="0.25">
      <c r="B10" s="11">
        <v>2</v>
      </c>
      <c r="C10" s="12"/>
      <c r="D10" s="13" t="s">
        <v>1196</v>
      </c>
      <c r="E10" s="14" t="s">
        <v>1197</v>
      </c>
      <c r="F10" s="15" t="s">
        <v>1198</v>
      </c>
      <c r="G10" s="16">
        <v>46148</v>
      </c>
      <c r="H10" s="16">
        <v>46161</v>
      </c>
      <c r="I10" s="23">
        <v>230200</v>
      </c>
      <c r="J10" s="18">
        <f t="shared" ref="J10:J16" si="0">I10</f>
        <v>230200</v>
      </c>
      <c r="K10" s="19"/>
      <c r="L10" s="24"/>
      <c r="M10" s="24"/>
      <c r="N10" s="21" t="s">
        <v>155</v>
      </c>
      <c r="O10" s="22"/>
    </row>
    <row r="11" spans="2:17" x14ac:dyDescent="0.25">
      <c r="B11" s="11">
        <v>3</v>
      </c>
      <c r="C11" s="12"/>
      <c r="D11" s="13" t="s">
        <v>1233</v>
      </c>
      <c r="E11" s="14" t="s">
        <v>1234</v>
      </c>
      <c r="F11" s="15" t="s">
        <v>1235</v>
      </c>
      <c r="G11" s="16">
        <v>46162</v>
      </c>
      <c r="H11" s="16">
        <v>46175</v>
      </c>
      <c r="I11" s="23">
        <v>1505700</v>
      </c>
      <c r="J11" s="18">
        <v>1100000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1236</v>
      </c>
      <c r="E12" s="14" t="s">
        <v>1237</v>
      </c>
      <c r="F12" s="15" t="s">
        <v>948</v>
      </c>
      <c r="G12" s="16">
        <v>46162</v>
      </c>
      <c r="H12" s="16">
        <v>46175</v>
      </c>
      <c r="I12" s="23">
        <v>645300</v>
      </c>
      <c r="J12" s="18">
        <f t="shared" si="0"/>
        <v>645300</v>
      </c>
      <c r="K12" s="19"/>
      <c r="L12" s="24"/>
      <c r="M12" s="24"/>
      <c r="N12" s="21" t="s">
        <v>155</v>
      </c>
      <c r="O12" s="22"/>
    </row>
    <row r="13" spans="2:17" x14ac:dyDescent="0.25">
      <c r="B13" s="11">
        <v>5</v>
      </c>
      <c r="C13" s="12"/>
      <c r="D13" s="13" t="s">
        <v>1238</v>
      </c>
      <c r="E13" s="14" t="s">
        <v>1239</v>
      </c>
      <c r="F13" s="15" t="s">
        <v>250</v>
      </c>
      <c r="G13" s="16">
        <v>46163</v>
      </c>
      <c r="H13" s="16">
        <v>46176</v>
      </c>
      <c r="I13" s="23">
        <v>1996400</v>
      </c>
      <c r="J13" s="18">
        <f t="shared" si="0"/>
        <v>1996400</v>
      </c>
      <c r="K13" s="19"/>
      <c r="L13" s="24"/>
      <c r="M13" s="24"/>
      <c r="N13" s="21" t="s">
        <v>155</v>
      </c>
      <c r="O13" s="22"/>
    </row>
    <row r="14" spans="2:17" x14ac:dyDescent="0.25">
      <c r="B14" s="11">
        <v>6</v>
      </c>
      <c r="C14" s="12"/>
      <c r="D14" s="13" t="s">
        <v>1201</v>
      </c>
      <c r="E14" s="14" t="s">
        <v>162</v>
      </c>
      <c r="F14" s="15" t="s">
        <v>1240</v>
      </c>
      <c r="G14" s="16">
        <v>46176</v>
      </c>
      <c r="H14" s="16">
        <v>46189</v>
      </c>
      <c r="I14" s="23">
        <v>178700</v>
      </c>
      <c r="J14" s="18">
        <f t="shared" si="0"/>
        <v>178700</v>
      </c>
      <c r="K14" s="19"/>
      <c r="L14" s="24"/>
      <c r="M14" s="24"/>
      <c r="N14" s="21" t="s">
        <v>155</v>
      </c>
      <c r="O14" s="22"/>
    </row>
    <row r="15" spans="2:17" x14ac:dyDescent="0.25">
      <c r="B15" s="11">
        <v>7</v>
      </c>
      <c r="C15" s="12"/>
      <c r="D15" s="13" t="s">
        <v>1202</v>
      </c>
      <c r="E15" s="14" t="s">
        <v>174</v>
      </c>
      <c r="F15" s="15" t="s">
        <v>175</v>
      </c>
      <c r="G15" s="16">
        <v>46176</v>
      </c>
      <c r="H15" s="16">
        <v>46189</v>
      </c>
      <c r="I15" s="23">
        <v>200000</v>
      </c>
      <c r="J15" s="18">
        <f t="shared" si="0"/>
        <v>200000</v>
      </c>
      <c r="K15" s="19"/>
      <c r="L15" s="24"/>
      <c r="M15" s="24"/>
      <c r="N15" s="21" t="s">
        <v>155</v>
      </c>
      <c r="O15" s="22"/>
    </row>
    <row r="16" spans="2:17" x14ac:dyDescent="0.25">
      <c r="B16" s="11">
        <v>8</v>
      </c>
      <c r="C16" s="12"/>
      <c r="D16" s="13" t="s">
        <v>1241</v>
      </c>
      <c r="E16" s="14" t="s">
        <v>248</v>
      </c>
      <c r="F16" s="15" t="s">
        <v>249</v>
      </c>
      <c r="G16" s="16">
        <v>46177</v>
      </c>
      <c r="H16" s="16">
        <v>46190</v>
      </c>
      <c r="I16" s="23">
        <v>328700</v>
      </c>
      <c r="J16" s="18">
        <f t="shared" si="0"/>
        <v>328700</v>
      </c>
      <c r="K16" s="19"/>
      <c r="L16" s="24"/>
      <c r="M16" s="24"/>
      <c r="N16" s="21" t="s">
        <v>155</v>
      </c>
      <c r="O16" s="22"/>
    </row>
    <row r="17" spans="2:15" x14ac:dyDescent="0.25">
      <c r="B17" s="11">
        <v>9</v>
      </c>
      <c r="C17" s="12"/>
      <c r="D17" s="13" t="s">
        <v>1242</v>
      </c>
      <c r="E17" s="14" t="s">
        <v>256</v>
      </c>
      <c r="F17" s="15" t="s">
        <v>246</v>
      </c>
      <c r="G17" s="16">
        <v>46177</v>
      </c>
      <c r="H17" s="16">
        <v>46190</v>
      </c>
      <c r="I17" s="23">
        <v>1075500</v>
      </c>
      <c r="J17" s="18">
        <v>593500</v>
      </c>
      <c r="K17" s="19"/>
      <c r="L17" s="24"/>
      <c r="M17" s="24"/>
      <c r="N17" s="22" t="s">
        <v>158</v>
      </c>
      <c r="O17" s="22"/>
    </row>
    <row r="18" spans="2:15" x14ac:dyDescent="0.25">
      <c r="B18" s="11">
        <v>10</v>
      </c>
      <c r="C18" s="12"/>
      <c r="D18" s="13" t="s">
        <v>1243</v>
      </c>
      <c r="E18" s="14" t="s">
        <v>165</v>
      </c>
      <c r="F18" s="15" t="s">
        <v>163</v>
      </c>
      <c r="G18" s="16">
        <v>46148</v>
      </c>
      <c r="H18" s="16">
        <v>46161</v>
      </c>
      <c r="I18" s="23">
        <v>52800</v>
      </c>
      <c r="J18" s="18"/>
      <c r="K18" s="19"/>
      <c r="L18" s="24">
        <f>I18</f>
        <v>52800</v>
      </c>
      <c r="M18" s="24"/>
      <c r="N18" s="21" t="s">
        <v>155</v>
      </c>
      <c r="O18" s="22"/>
    </row>
    <row r="19" spans="2:15" x14ac:dyDescent="0.25">
      <c r="B19" s="11">
        <v>11</v>
      </c>
      <c r="C19" s="12"/>
      <c r="D19" s="13" t="s">
        <v>1244</v>
      </c>
      <c r="E19" s="14" t="s">
        <v>1197</v>
      </c>
      <c r="F19" s="15" t="s">
        <v>1198</v>
      </c>
      <c r="G19" s="16">
        <v>46148</v>
      </c>
      <c r="H19" s="16">
        <v>46161</v>
      </c>
      <c r="I19" s="23">
        <v>160000</v>
      </c>
      <c r="J19" s="18"/>
      <c r="K19" s="19"/>
      <c r="L19" s="24">
        <f t="shared" ref="L19:L21" si="1">I19</f>
        <v>160000</v>
      </c>
      <c r="M19" s="24"/>
      <c r="N19" s="21" t="s">
        <v>155</v>
      </c>
      <c r="O19" s="22"/>
    </row>
    <row r="20" spans="2:15" x14ac:dyDescent="0.25">
      <c r="B20" s="11">
        <v>12</v>
      </c>
      <c r="C20" s="12"/>
      <c r="D20" s="13" t="s">
        <v>262</v>
      </c>
      <c r="E20" s="14" t="s">
        <v>263</v>
      </c>
      <c r="F20" s="15" t="s">
        <v>250</v>
      </c>
      <c r="G20" s="16">
        <v>46163</v>
      </c>
      <c r="H20" s="16">
        <v>46176</v>
      </c>
      <c r="I20" s="23">
        <v>168494</v>
      </c>
      <c r="J20" s="18"/>
      <c r="K20" s="19"/>
      <c r="L20" s="24">
        <f t="shared" si="1"/>
        <v>168494</v>
      </c>
      <c r="M20" s="24"/>
      <c r="N20" s="21" t="s">
        <v>155</v>
      </c>
      <c r="O20" s="22"/>
    </row>
    <row r="21" spans="2:15" x14ac:dyDescent="0.25">
      <c r="B21" s="11">
        <v>13</v>
      </c>
      <c r="C21" s="12"/>
      <c r="D21" s="13" t="s">
        <v>1245</v>
      </c>
      <c r="E21" s="14" t="s">
        <v>254</v>
      </c>
      <c r="F21" s="15" t="s">
        <v>250</v>
      </c>
      <c r="G21" s="16">
        <v>46163</v>
      </c>
      <c r="H21" s="16">
        <v>46176</v>
      </c>
      <c r="I21" s="23">
        <v>694980</v>
      </c>
      <c r="J21" s="18"/>
      <c r="K21" s="19"/>
      <c r="L21" s="24">
        <f t="shared" si="1"/>
        <v>694980</v>
      </c>
      <c r="M21" s="24"/>
      <c r="N21" s="21" t="s">
        <v>155</v>
      </c>
      <c r="O21" s="22"/>
    </row>
    <row r="22" spans="2:15" ht="15.75" x14ac:dyDescent="0.25">
      <c r="B22" s="169" t="s">
        <v>13</v>
      </c>
      <c r="C22" s="170"/>
      <c r="D22" s="170"/>
      <c r="E22" s="170"/>
      <c r="F22" s="170"/>
      <c r="G22" s="170"/>
      <c r="H22" s="170"/>
      <c r="I22" s="171"/>
      <c r="J22" s="25">
        <f>SUM(J9:J21)</f>
        <v>5365800</v>
      </c>
      <c r="K22" s="26">
        <f>SUM(K9:K21)</f>
        <v>0</v>
      </c>
      <c r="L22" s="27">
        <f>SUM(L9:L21)</f>
        <v>1076274</v>
      </c>
      <c r="M22" s="28">
        <f>SUM(M9:M21)</f>
        <v>0</v>
      </c>
      <c r="N22" s="29"/>
      <c r="O22" s="30">
        <f>SUM(J22+K22+L22+M22)</f>
        <v>6442074</v>
      </c>
    </row>
    <row r="23" spans="2:15" ht="15.75" x14ac:dyDescent="0.25">
      <c r="B23" s="190"/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</row>
    <row r="24" spans="2:15" x14ac:dyDescent="0.25">
      <c r="B24" s="11">
        <v>1</v>
      </c>
      <c r="C24" s="31" t="s">
        <v>20</v>
      </c>
      <c r="D24" s="13" t="s">
        <v>1246</v>
      </c>
      <c r="E24" s="32" t="s">
        <v>1136</v>
      </c>
      <c r="F24" s="33" t="s">
        <v>268</v>
      </c>
      <c r="G24" s="34">
        <v>46161</v>
      </c>
      <c r="H24" s="35">
        <v>46174</v>
      </c>
      <c r="I24" s="36">
        <v>1517800</v>
      </c>
      <c r="J24" s="37">
        <v>500000</v>
      </c>
      <c r="K24" s="19"/>
      <c r="L24" s="24"/>
      <c r="M24" s="24"/>
      <c r="N24" s="22" t="s">
        <v>158</v>
      </c>
      <c r="O24" s="22"/>
    </row>
    <row r="25" spans="2:15" x14ac:dyDescent="0.25">
      <c r="B25" s="11">
        <v>2</v>
      </c>
      <c r="C25" s="31"/>
      <c r="D25" s="13" t="s">
        <v>1247</v>
      </c>
      <c r="E25" s="32" t="s">
        <v>1248</v>
      </c>
      <c r="F25" s="33" t="s">
        <v>187</v>
      </c>
      <c r="G25" s="34">
        <v>46162</v>
      </c>
      <c r="H25" s="35">
        <v>46175</v>
      </c>
      <c r="I25" s="36">
        <v>430200</v>
      </c>
      <c r="J25" s="37">
        <f t="shared" ref="J25:J31" si="2">I25</f>
        <v>430200</v>
      </c>
      <c r="K25" s="19"/>
      <c r="L25" s="24"/>
      <c r="M25" s="24"/>
      <c r="N25" s="21" t="s">
        <v>155</v>
      </c>
      <c r="O25" s="22"/>
    </row>
    <row r="26" spans="2:15" x14ac:dyDescent="0.25">
      <c r="B26" s="11">
        <v>3</v>
      </c>
      <c r="C26" s="31"/>
      <c r="D26" s="13" t="s">
        <v>276</v>
      </c>
      <c r="E26" s="32" t="s">
        <v>1249</v>
      </c>
      <c r="F26" s="33" t="s">
        <v>271</v>
      </c>
      <c r="G26" s="34">
        <v>46163</v>
      </c>
      <c r="H26" s="35">
        <v>46176</v>
      </c>
      <c r="I26" s="36">
        <v>127200</v>
      </c>
      <c r="J26" s="37">
        <f t="shared" si="2"/>
        <v>127200</v>
      </c>
      <c r="K26" s="19"/>
      <c r="L26" s="24"/>
      <c r="M26" s="24"/>
      <c r="N26" s="21" t="s">
        <v>155</v>
      </c>
      <c r="O26" s="22"/>
    </row>
    <row r="27" spans="2:15" x14ac:dyDescent="0.25">
      <c r="B27" s="11">
        <v>4</v>
      </c>
      <c r="C27" s="31"/>
      <c r="D27" s="13" t="s">
        <v>278</v>
      </c>
      <c r="E27" s="32" t="s">
        <v>279</v>
      </c>
      <c r="F27" s="33" t="s">
        <v>271</v>
      </c>
      <c r="G27" s="34">
        <v>46163</v>
      </c>
      <c r="H27" s="35">
        <v>46176</v>
      </c>
      <c r="I27" s="36">
        <v>115100</v>
      </c>
      <c r="J27" s="37">
        <f t="shared" si="2"/>
        <v>115100</v>
      </c>
      <c r="K27" s="19"/>
      <c r="L27" s="24"/>
      <c r="M27" s="24"/>
      <c r="N27" s="21" t="s">
        <v>155</v>
      </c>
      <c r="O27" s="22"/>
    </row>
    <row r="28" spans="2:15" x14ac:dyDescent="0.25">
      <c r="B28" s="11">
        <v>5</v>
      </c>
      <c r="C28" s="31"/>
      <c r="D28" s="13" t="s">
        <v>1250</v>
      </c>
      <c r="E28" s="32" t="s">
        <v>1251</v>
      </c>
      <c r="F28" s="33" t="s">
        <v>271</v>
      </c>
      <c r="G28" s="34">
        <v>46163</v>
      </c>
      <c r="H28" s="35">
        <v>46176</v>
      </c>
      <c r="I28" s="36">
        <v>758900</v>
      </c>
      <c r="J28" s="37">
        <v>400000</v>
      </c>
      <c r="K28" s="19"/>
      <c r="L28" s="24"/>
      <c r="M28" s="24"/>
      <c r="N28" s="22" t="s">
        <v>158</v>
      </c>
      <c r="O28" s="22"/>
    </row>
    <row r="29" spans="2:15" x14ac:dyDescent="0.25">
      <c r="B29" s="11">
        <v>6</v>
      </c>
      <c r="C29" s="31"/>
      <c r="D29" s="13" t="s">
        <v>1252</v>
      </c>
      <c r="E29" s="32" t="s">
        <v>273</v>
      </c>
      <c r="F29" s="33" t="s">
        <v>271</v>
      </c>
      <c r="G29" s="34">
        <v>46177</v>
      </c>
      <c r="H29" s="35">
        <v>46190</v>
      </c>
      <c r="I29" s="36">
        <v>227200</v>
      </c>
      <c r="J29" s="37">
        <v>80200</v>
      </c>
      <c r="K29" s="19"/>
      <c r="L29" s="24"/>
      <c r="M29" s="24"/>
      <c r="N29" s="22" t="s">
        <v>158</v>
      </c>
      <c r="O29" s="22"/>
    </row>
    <row r="30" spans="2:15" x14ac:dyDescent="0.25">
      <c r="B30" s="11">
        <v>7</v>
      </c>
      <c r="C30" s="31"/>
      <c r="D30" s="13" t="s">
        <v>1253</v>
      </c>
      <c r="E30" s="32" t="s">
        <v>270</v>
      </c>
      <c r="F30" s="33" t="s">
        <v>271</v>
      </c>
      <c r="G30" s="34">
        <v>46177</v>
      </c>
      <c r="H30" s="35">
        <v>46190</v>
      </c>
      <c r="I30" s="36">
        <v>215100</v>
      </c>
      <c r="J30" s="37">
        <v>115100</v>
      </c>
      <c r="K30" s="19"/>
      <c r="L30" s="24"/>
      <c r="M30" s="24"/>
      <c r="N30" s="21" t="s">
        <v>158</v>
      </c>
      <c r="O30" s="22"/>
    </row>
    <row r="31" spans="2:15" x14ac:dyDescent="0.25">
      <c r="B31" s="11">
        <v>8</v>
      </c>
      <c r="C31" s="31"/>
      <c r="D31" s="13" t="s">
        <v>1254</v>
      </c>
      <c r="E31" s="32" t="s">
        <v>1255</v>
      </c>
      <c r="F31" s="33" t="s">
        <v>285</v>
      </c>
      <c r="G31" s="34">
        <v>46177</v>
      </c>
      <c r="H31" s="35">
        <v>46190</v>
      </c>
      <c r="I31" s="36">
        <v>113600</v>
      </c>
      <c r="J31" s="37">
        <f t="shared" si="2"/>
        <v>113600</v>
      </c>
      <c r="K31" s="19"/>
      <c r="L31" s="24"/>
      <c r="M31" s="24"/>
      <c r="N31" s="21" t="s">
        <v>155</v>
      </c>
      <c r="O31" s="22"/>
    </row>
    <row r="32" spans="2:15" x14ac:dyDescent="0.25">
      <c r="B32" s="11">
        <v>9</v>
      </c>
      <c r="C32" s="31"/>
      <c r="D32" s="13" t="s">
        <v>1256</v>
      </c>
      <c r="E32" s="32" t="s">
        <v>273</v>
      </c>
      <c r="F32" s="33" t="s">
        <v>271</v>
      </c>
      <c r="G32" s="34">
        <v>46177</v>
      </c>
      <c r="H32" s="35">
        <v>46190</v>
      </c>
      <c r="I32" s="36">
        <v>80000</v>
      </c>
      <c r="J32" s="37"/>
      <c r="K32" s="19"/>
      <c r="L32" s="24">
        <f t="shared" ref="L32" si="3">I32</f>
        <v>80000</v>
      </c>
      <c r="M32" s="24"/>
      <c r="N32" s="21" t="s">
        <v>155</v>
      </c>
      <c r="O32" s="22"/>
    </row>
    <row r="33" spans="2:15" ht="15.75" x14ac:dyDescent="0.25">
      <c r="B33" s="192" t="s">
        <v>13</v>
      </c>
      <c r="C33" s="193"/>
      <c r="D33" s="193"/>
      <c r="E33" s="193"/>
      <c r="F33" s="193"/>
      <c r="G33" s="193"/>
      <c r="H33" s="193"/>
      <c r="I33" s="194"/>
      <c r="J33" s="38">
        <f>SUM(J24:J32)</f>
        <v>1881400</v>
      </c>
      <c r="K33" s="26">
        <f>SUM(K24:K32)</f>
        <v>0</v>
      </c>
      <c r="L33" s="27">
        <f>SUM(L24:L32)</f>
        <v>80000</v>
      </c>
      <c r="M33" s="27">
        <f>SUM(M24:M32)</f>
        <v>0</v>
      </c>
      <c r="N33" s="39"/>
      <c r="O33" s="40">
        <f>SUM(J33+K33+L33+M33)</f>
        <v>1961400</v>
      </c>
    </row>
    <row r="34" spans="2:15" ht="15.75" x14ac:dyDescent="0.25">
      <c r="B34" s="195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</row>
    <row r="35" spans="2:15" ht="15.75" x14ac:dyDescent="0.25">
      <c r="B35" s="42">
        <v>1</v>
      </c>
      <c r="C35" s="43" t="s">
        <v>21</v>
      </c>
      <c r="D35" s="44" t="s">
        <v>1257</v>
      </c>
      <c r="E35" s="45" t="s">
        <v>214</v>
      </c>
      <c r="F35" s="45" t="s">
        <v>215</v>
      </c>
      <c r="G35" s="46">
        <v>46176</v>
      </c>
      <c r="H35" s="46">
        <v>46189</v>
      </c>
      <c r="I35" s="47">
        <v>3855000</v>
      </c>
      <c r="J35" s="48">
        <f>I35</f>
        <v>3855000</v>
      </c>
      <c r="K35" s="49"/>
      <c r="L35" s="50"/>
      <c r="M35" s="50"/>
      <c r="N35" s="21" t="s">
        <v>155</v>
      </c>
      <c r="O35" s="42"/>
    </row>
    <row r="36" spans="2:15" ht="15.75" x14ac:dyDescent="0.25">
      <c r="B36" s="42">
        <v>2</v>
      </c>
      <c r="C36" s="43"/>
      <c r="D36" s="44" t="s">
        <v>1258</v>
      </c>
      <c r="E36" s="45" t="s">
        <v>309</v>
      </c>
      <c r="F36" s="45" t="s">
        <v>307</v>
      </c>
      <c r="G36" s="46">
        <v>46177</v>
      </c>
      <c r="H36" s="46">
        <v>46190</v>
      </c>
      <c r="I36" s="47">
        <v>430200</v>
      </c>
      <c r="J36" s="48">
        <f t="shared" ref="J36:J41" si="4">I36</f>
        <v>430200</v>
      </c>
      <c r="K36" s="49"/>
      <c r="L36" s="50"/>
      <c r="M36" s="50"/>
      <c r="N36" s="21" t="s">
        <v>155</v>
      </c>
      <c r="O36" s="42"/>
    </row>
    <row r="37" spans="2:15" ht="15.75" x14ac:dyDescent="0.25">
      <c r="B37" s="42">
        <v>3</v>
      </c>
      <c r="C37" s="43"/>
      <c r="D37" s="44" t="s">
        <v>1259</v>
      </c>
      <c r="E37" s="45" t="s">
        <v>306</v>
      </c>
      <c r="F37" s="45" t="s">
        <v>307</v>
      </c>
      <c r="G37" s="46">
        <v>46177</v>
      </c>
      <c r="H37" s="46">
        <v>46190</v>
      </c>
      <c r="I37" s="47">
        <v>328700</v>
      </c>
      <c r="J37" s="48">
        <f t="shared" si="4"/>
        <v>328700</v>
      </c>
      <c r="K37" s="49"/>
      <c r="L37" s="50"/>
      <c r="M37" s="50"/>
      <c r="N37" s="21" t="s">
        <v>155</v>
      </c>
      <c r="O37" s="42"/>
    </row>
    <row r="38" spans="2:15" ht="15.75" x14ac:dyDescent="0.25">
      <c r="B38" s="42">
        <v>4</v>
      </c>
      <c r="C38" s="43"/>
      <c r="D38" s="44" t="s">
        <v>1260</v>
      </c>
      <c r="E38" s="45" t="s">
        <v>300</v>
      </c>
      <c r="F38" s="45" t="s">
        <v>301</v>
      </c>
      <c r="G38" s="46">
        <v>46177</v>
      </c>
      <c r="H38" s="46">
        <v>46190</v>
      </c>
      <c r="I38" s="47">
        <v>328700</v>
      </c>
      <c r="J38" s="48">
        <f t="shared" si="4"/>
        <v>328700</v>
      </c>
      <c r="K38" s="49"/>
      <c r="L38" s="50"/>
      <c r="M38" s="50"/>
      <c r="N38" s="21" t="s">
        <v>155</v>
      </c>
      <c r="O38" s="42"/>
    </row>
    <row r="39" spans="2:15" ht="15.75" x14ac:dyDescent="0.25">
      <c r="B39" s="42">
        <v>5</v>
      </c>
      <c r="C39" s="43"/>
      <c r="D39" s="44" t="s">
        <v>1261</v>
      </c>
      <c r="E39" s="45" t="s">
        <v>289</v>
      </c>
      <c r="F39" s="45" t="s">
        <v>290</v>
      </c>
      <c r="G39" s="46">
        <v>46177</v>
      </c>
      <c r="H39" s="46">
        <v>46190</v>
      </c>
      <c r="I39" s="47">
        <v>543800</v>
      </c>
      <c r="J39" s="48">
        <f t="shared" si="4"/>
        <v>543800</v>
      </c>
      <c r="K39" s="49"/>
      <c r="L39" s="50"/>
      <c r="M39" s="50"/>
      <c r="N39" s="21" t="s">
        <v>155</v>
      </c>
      <c r="O39" s="42"/>
    </row>
    <row r="40" spans="2:15" ht="15.75" x14ac:dyDescent="0.25">
      <c r="B40" s="42">
        <v>6</v>
      </c>
      <c r="C40" s="43"/>
      <c r="D40" s="44" t="s">
        <v>1262</v>
      </c>
      <c r="E40" s="45" t="s">
        <v>295</v>
      </c>
      <c r="F40" s="45" t="s">
        <v>392</v>
      </c>
      <c r="G40" s="46">
        <v>46177</v>
      </c>
      <c r="H40" s="46">
        <v>46190</v>
      </c>
      <c r="I40" s="47">
        <v>215100</v>
      </c>
      <c r="J40" s="48">
        <f t="shared" si="4"/>
        <v>215100</v>
      </c>
      <c r="K40" s="49"/>
      <c r="L40" s="50"/>
      <c r="M40" s="50"/>
      <c r="N40" s="21" t="s">
        <v>155</v>
      </c>
      <c r="O40" s="42"/>
    </row>
    <row r="41" spans="2:15" ht="15.75" x14ac:dyDescent="0.25">
      <c r="B41" s="42">
        <v>7</v>
      </c>
      <c r="C41" s="43"/>
      <c r="D41" s="44" t="s">
        <v>1263</v>
      </c>
      <c r="E41" s="45" t="s">
        <v>297</v>
      </c>
      <c r="F41" s="45" t="s">
        <v>298</v>
      </c>
      <c r="G41" s="46">
        <v>46177</v>
      </c>
      <c r="H41" s="46">
        <v>46190</v>
      </c>
      <c r="I41" s="47">
        <v>430200</v>
      </c>
      <c r="J41" s="48">
        <f t="shared" si="4"/>
        <v>430200</v>
      </c>
      <c r="K41" s="49"/>
      <c r="L41" s="50"/>
      <c r="M41" s="50"/>
      <c r="N41" s="21" t="s">
        <v>155</v>
      </c>
      <c r="O41" s="42"/>
    </row>
    <row r="42" spans="2:15" ht="15.75" x14ac:dyDescent="0.25">
      <c r="B42" s="42">
        <v>8</v>
      </c>
      <c r="C42" s="43"/>
      <c r="D42" s="44" t="s">
        <v>1264</v>
      </c>
      <c r="E42" s="45" t="s">
        <v>214</v>
      </c>
      <c r="F42" s="45" t="s">
        <v>215</v>
      </c>
      <c r="G42" s="46">
        <v>46176</v>
      </c>
      <c r="H42" s="46">
        <v>46189</v>
      </c>
      <c r="I42" s="47">
        <v>1028340</v>
      </c>
      <c r="J42" s="48"/>
      <c r="K42" s="49"/>
      <c r="L42" s="51">
        <f>I42</f>
        <v>1028340</v>
      </c>
      <c r="M42" s="51"/>
      <c r="N42" s="21" t="s">
        <v>155</v>
      </c>
      <c r="O42" s="42"/>
    </row>
    <row r="43" spans="2:15" ht="15.75" x14ac:dyDescent="0.25">
      <c r="B43" s="42">
        <v>9</v>
      </c>
      <c r="C43" s="43"/>
      <c r="D43" s="44" t="s">
        <v>1265</v>
      </c>
      <c r="E43" s="45" t="s">
        <v>306</v>
      </c>
      <c r="F43" s="45" t="s">
        <v>307</v>
      </c>
      <c r="G43" s="46">
        <v>46177</v>
      </c>
      <c r="H43" s="46">
        <v>46190</v>
      </c>
      <c r="I43" s="47">
        <v>72000</v>
      </c>
      <c r="J43" s="48"/>
      <c r="K43" s="49"/>
      <c r="L43" s="51">
        <f t="shared" ref="L43:L44" si="5">I43</f>
        <v>72000</v>
      </c>
      <c r="M43" s="51"/>
      <c r="N43" s="21" t="s">
        <v>155</v>
      </c>
      <c r="O43" s="42"/>
    </row>
    <row r="44" spans="2:15" ht="15.75" x14ac:dyDescent="0.25">
      <c r="B44" s="42">
        <v>10</v>
      </c>
      <c r="C44" s="42"/>
      <c r="D44" s="44" t="s">
        <v>1266</v>
      </c>
      <c r="E44" s="45" t="s">
        <v>297</v>
      </c>
      <c r="F44" s="45" t="s">
        <v>298</v>
      </c>
      <c r="G44" s="46">
        <v>46177</v>
      </c>
      <c r="H44" s="46">
        <v>46190</v>
      </c>
      <c r="I44" s="47">
        <v>160000</v>
      </c>
      <c r="J44" s="48"/>
      <c r="K44" s="49"/>
      <c r="L44" s="51">
        <f t="shared" si="5"/>
        <v>160000</v>
      </c>
      <c r="M44" s="51"/>
      <c r="N44" s="21" t="s">
        <v>155</v>
      </c>
      <c r="O44" s="42"/>
    </row>
    <row r="45" spans="2:15" ht="15.75" x14ac:dyDescent="0.25">
      <c r="B45" s="197" t="s">
        <v>13</v>
      </c>
      <c r="C45" s="198"/>
      <c r="D45" s="198"/>
      <c r="E45" s="198"/>
      <c r="F45" s="198"/>
      <c r="G45" s="198"/>
      <c r="H45" s="198"/>
      <c r="I45" s="199"/>
      <c r="J45" s="52">
        <f>SUM(J35:J44)</f>
        <v>6131700</v>
      </c>
      <c r="K45" s="53">
        <f>SUM(K35:K44)</f>
        <v>0</v>
      </c>
      <c r="L45" s="54">
        <f>SUM(L35:L44)</f>
        <v>1260340</v>
      </c>
      <c r="M45" s="54">
        <f>SUM(M35:M44)</f>
        <v>0</v>
      </c>
      <c r="N45" s="55"/>
      <c r="O45" s="56">
        <f>SUM(J45+K45+L45+M45)</f>
        <v>7392040</v>
      </c>
    </row>
    <row r="46" spans="2:15" x14ac:dyDescent="0.25">
      <c r="D46" s="57"/>
      <c r="I46" s="58"/>
      <c r="J46" s="58"/>
    </row>
    <row r="47" spans="2:15" x14ac:dyDescent="0.25">
      <c r="D47" s="57"/>
      <c r="I47" s="58"/>
      <c r="J47" s="58"/>
    </row>
    <row r="48" spans="2:15" ht="15.75" x14ac:dyDescent="0.25">
      <c r="D48" s="57"/>
      <c r="G48" s="200" t="s">
        <v>22</v>
      </c>
      <c r="H48" s="200"/>
      <c r="I48" s="200"/>
      <c r="J48" s="59">
        <f>SUM(J45+J33+J22)</f>
        <v>13378900</v>
      </c>
      <c r="K48" s="26">
        <f>SUM(K45+K33+K22)</f>
        <v>0</v>
      </c>
      <c r="L48" s="60">
        <f>SUM(L45+L33+L22)</f>
        <v>2416614</v>
      </c>
      <c r="M48" s="60">
        <f>SUM(M45+M33+M22)</f>
        <v>0</v>
      </c>
      <c r="N48" s="39"/>
      <c r="O48" s="30">
        <f>SUM(J48+K48+L48+M48)</f>
        <v>15795514</v>
      </c>
    </row>
    <row r="49" spans="2:15" x14ac:dyDescent="0.25">
      <c r="D49" s="57"/>
      <c r="I49" s="58"/>
      <c r="J49" s="58"/>
    </row>
    <row r="50" spans="2:15" x14ac:dyDescent="0.25">
      <c r="B50" s="201" t="s">
        <v>17</v>
      </c>
      <c r="C50" s="201"/>
      <c r="D50" s="201"/>
      <c r="I50" s="58"/>
      <c r="J50" s="58"/>
    </row>
    <row r="51" spans="2:15" ht="15.75" x14ac:dyDescent="0.25">
      <c r="B51" s="188" t="s">
        <v>4</v>
      </c>
      <c r="C51" s="202" t="s">
        <v>23</v>
      </c>
      <c r="D51" s="188" t="s">
        <v>6</v>
      </c>
      <c r="E51" s="188" t="s">
        <v>7</v>
      </c>
      <c r="F51" s="188" t="s">
        <v>8</v>
      </c>
      <c r="G51" s="188" t="s">
        <v>9</v>
      </c>
      <c r="H51" s="188" t="s">
        <v>10</v>
      </c>
      <c r="I51" s="202" t="s">
        <v>24</v>
      </c>
      <c r="J51" s="169" t="s">
        <v>12</v>
      </c>
      <c r="K51" s="170"/>
      <c r="L51" s="170"/>
      <c r="M51" s="170"/>
      <c r="N51" s="171"/>
      <c r="O51" s="204" t="s">
        <v>13</v>
      </c>
    </row>
    <row r="52" spans="2:15" ht="15.75" x14ac:dyDescent="0.25">
      <c r="B52" s="189"/>
      <c r="C52" s="203"/>
      <c r="D52" s="189"/>
      <c r="E52" s="189"/>
      <c r="F52" s="189"/>
      <c r="G52" s="189"/>
      <c r="H52" s="189"/>
      <c r="I52" s="203"/>
      <c r="J52" s="164" t="s">
        <v>14</v>
      </c>
      <c r="K52" s="165"/>
      <c r="L52" s="166" t="s">
        <v>15</v>
      </c>
      <c r="M52" s="167"/>
      <c r="N52" s="4" t="s">
        <v>16</v>
      </c>
      <c r="O52" s="205"/>
    </row>
    <row r="53" spans="2:15" ht="15.75" x14ac:dyDescent="0.25">
      <c r="B53" s="5"/>
      <c r="C53" s="61"/>
      <c r="D53" s="5"/>
      <c r="E53" s="5"/>
      <c r="F53" s="5"/>
      <c r="G53" s="5"/>
      <c r="H53" s="5"/>
      <c r="I53" s="61"/>
      <c r="J53" s="62" t="s">
        <v>17</v>
      </c>
      <c r="K53" s="6" t="s">
        <v>18</v>
      </c>
      <c r="L53" s="10" t="s">
        <v>17</v>
      </c>
      <c r="M53" s="10" t="s">
        <v>18</v>
      </c>
      <c r="N53" s="4"/>
      <c r="O53" s="7"/>
    </row>
    <row r="54" spans="2:15" ht="15" customHeight="1" x14ac:dyDescent="0.25">
      <c r="B54" s="63">
        <v>1</v>
      </c>
      <c r="C54" s="43" t="s">
        <v>154</v>
      </c>
      <c r="D54" s="64" t="s">
        <v>1267</v>
      </c>
      <c r="E54" s="65" t="s">
        <v>319</v>
      </c>
      <c r="F54" s="65" t="s">
        <v>215</v>
      </c>
      <c r="G54" s="66">
        <v>46190</v>
      </c>
      <c r="H54" s="66"/>
      <c r="I54" s="67">
        <v>1111000</v>
      </c>
      <c r="J54" s="37">
        <f t="shared" ref="J54:J59" si="6">I54</f>
        <v>1111000</v>
      </c>
      <c r="K54" s="68"/>
      <c r="L54" s="69"/>
      <c r="M54" s="69"/>
      <c r="N54" s="22" t="s">
        <v>155</v>
      </c>
      <c r="O54" s="70"/>
    </row>
    <row r="55" spans="2:15" ht="15" customHeight="1" x14ac:dyDescent="0.25">
      <c r="B55" s="63">
        <v>2</v>
      </c>
      <c r="C55" s="43" t="s">
        <v>154</v>
      </c>
      <c r="D55" s="64" t="s">
        <v>1268</v>
      </c>
      <c r="E55" s="65" t="s">
        <v>317</v>
      </c>
      <c r="F55" s="65" t="s">
        <v>215</v>
      </c>
      <c r="G55" s="66">
        <v>46190</v>
      </c>
      <c r="H55" s="66"/>
      <c r="I55" s="67">
        <v>1063000</v>
      </c>
      <c r="J55" s="37">
        <f t="shared" si="6"/>
        <v>1063000</v>
      </c>
      <c r="K55" s="68"/>
      <c r="L55" s="69"/>
      <c r="M55" s="69"/>
      <c r="N55" s="22" t="s">
        <v>155</v>
      </c>
      <c r="O55" s="70"/>
    </row>
    <row r="56" spans="2:15" ht="15" customHeight="1" x14ac:dyDescent="0.25">
      <c r="B56" s="63">
        <v>3</v>
      </c>
      <c r="C56" s="43" t="s">
        <v>154</v>
      </c>
      <c r="D56" s="64" t="s">
        <v>1269</v>
      </c>
      <c r="E56" s="65" t="s">
        <v>217</v>
      </c>
      <c r="F56" s="65" t="s">
        <v>218</v>
      </c>
      <c r="G56" s="66">
        <v>46190</v>
      </c>
      <c r="H56" s="66"/>
      <c r="I56" s="67">
        <v>1063000</v>
      </c>
      <c r="J56" s="37">
        <f t="shared" si="6"/>
        <v>1063000</v>
      </c>
      <c r="K56" s="68"/>
      <c r="L56" s="69"/>
      <c r="M56" s="69"/>
      <c r="N56" s="22" t="s">
        <v>155</v>
      </c>
      <c r="O56" s="70"/>
    </row>
    <row r="57" spans="2:15" ht="15" customHeight="1" x14ac:dyDescent="0.25">
      <c r="B57" s="63">
        <v>4</v>
      </c>
      <c r="C57" s="43" t="s">
        <v>154</v>
      </c>
      <c r="D57" s="64" t="s">
        <v>1270</v>
      </c>
      <c r="E57" s="65" t="s">
        <v>1271</v>
      </c>
      <c r="F57" s="65" t="s">
        <v>900</v>
      </c>
      <c r="G57" s="66">
        <v>46190</v>
      </c>
      <c r="H57" s="66"/>
      <c r="I57" s="67">
        <v>1693440</v>
      </c>
      <c r="J57" s="37"/>
      <c r="K57" s="68"/>
      <c r="L57" s="159">
        <f>I57</f>
        <v>1693440</v>
      </c>
      <c r="M57" s="69"/>
      <c r="N57" s="22" t="s">
        <v>155</v>
      </c>
      <c r="O57" s="70"/>
    </row>
    <row r="58" spans="2:15" ht="15" customHeight="1" x14ac:dyDescent="0.25">
      <c r="B58" s="63">
        <v>5</v>
      </c>
      <c r="C58" s="43" t="s">
        <v>154</v>
      </c>
      <c r="D58" s="64" t="s">
        <v>1272</v>
      </c>
      <c r="E58" s="65" t="s">
        <v>1273</v>
      </c>
      <c r="F58" s="65" t="s">
        <v>215</v>
      </c>
      <c r="G58" s="66">
        <v>46190</v>
      </c>
      <c r="H58" s="66"/>
      <c r="I58" s="67">
        <v>3492000</v>
      </c>
      <c r="J58" s="37"/>
      <c r="K58" s="68"/>
      <c r="L58" s="159">
        <f>I58</f>
        <v>3492000</v>
      </c>
      <c r="M58" s="69"/>
      <c r="N58" s="22" t="s">
        <v>155</v>
      </c>
      <c r="O58" s="70"/>
    </row>
    <row r="59" spans="2:15" ht="15" customHeight="1" x14ac:dyDescent="0.25">
      <c r="B59" s="63">
        <v>6</v>
      </c>
      <c r="C59" s="43" t="s">
        <v>243</v>
      </c>
      <c r="D59" s="71" t="s">
        <v>1274</v>
      </c>
      <c r="E59" s="71" t="s">
        <v>1275</v>
      </c>
      <c r="F59" s="70" t="s">
        <v>187</v>
      </c>
      <c r="G59" s="66">
        <v>46190</v>
      </c>
      <c r="H59" s="72"/>
      <c r="I59" s="22">
        <v>860000</v>
      </c>
      <c r="J59" s="37">
        <f t="shared" si="6"/>
        <v>860000</v>
      </c>
      <c r="K59" s="68"/>
      <c r="L59" s="24"/>
      <c r="M59" s="69"/>
      <c r="N59" s="22" t="s">
        <v>155</v>
      </c>
      <c r="O59" s="70"/>
    </row>
    <row r="60" spans="2:15" ht="15" customHeight="1" x14ac:dyDescent="0.25">
      <c r="B60" s="63">
        <v>7</v>
      </c>
      <c r="C60" s="43" t="s">
        <v>243</v>
      </c>
      <c r="D60" s="71" t="s">
        <v>1276</v>
      </c>
      <c r="E60" s="71" t="s">
        <v>436</v>
      </c>
      <c r="F60" s="70" t="s">
        <v>187</v>
      </c>
      <c r="G60" s="66">
        <v>46190</v>
      </c>
      <c r="H60" s="72"/>
      <c r="I60" s="22">
        <v>10455000</v>
      </c>
      <c r="J60" s="37">
        <f>I60</f>
        <v>10455000</v>
      </c>
      <c r="K60" s="68"/>
      <c r="L60" s="24"/>
      <c r="M60" s="69" t="s">
        <v>1283</v>
      </c>
      <c r="N60" s="22" t="s">
        <v>155</v>
      </c>
      <c r="O60" s="70"/>
    </row>
    <row r="61" spans="2:15" ht="15" customHeight="1" x14ac:dyDescent="0.25">
      <c r="B61" s="63">
        <v>8</v>
      </c>
      <c r="C61" s="43" t="s">
        <v>243</v>
      </c>
      <c r="D61" s="71" t="s">
        <v>1277</v>
      </c>
      <c r="E61" s="71" t="s">
        <v>1275</v>
      </c>
      <c r="F61" s="70" t="s">
        <v>187</v>
      </c>
      <c r="G61" s="66">
        <v>46190</v>
      </c>
      <c r="H61" s="72"/>
      <c r="I61" s="22">
        <v>211056</v>
      </c>
      <c r="J61" s="37"/>
      <c r="K61" s="68"/>
      <c r="L61" s="24">
        <f>I61</f>
        <v>211056</v>
      </c>
      <c r="M61" s="69"/>
      <c r="N61" s="22" t="s">
        <v>155</v>
      </c>
      <c r="O61" s="70"/>
    </row>
    <row r="62" spans="2:15" ht="15" customHeight="1" x14ac:dyDescent="0.25">
      <c r="B62" s="63">
        <v>9</v>
      </c>
      <c r="C62" s="43" t="s">
        <v>243</v>
      </c>
      <c r="D62" s="71" t="s">
        <v>1280</v>
      </c>
      <c r="E62" s="71" t="s">
        <v>1281</v>
      </c>
      <c r="F62" s="70" t="s">
        <v>187</v>
      </c>
      <c r="G62" s="66">
        <v>46190</v>
      </c>
      <c r="H62" s="72"/>
      <c r="I62" s="22">
        <v>430200</v>
      </c>
      <c r="J62" s="37">
        <f>I62</f>
        <v>430200</v>
      </c>
      <c r="K62" s="68"/>
      <c r="L62" s="69"/>
      <c r="M62" s="69"/>
      <c r="N62" s="22" t="s">
        <v>155</v>
      </c>
      <c r="O62" s="70"/>
    </row>
    <row r="63" spans="2:15" ht="15" customHeight="1" x14ac:dyDescent="0.25">
      <c r="B63" s="63">
        <v>10</v>
      </c>
      <c r="C63" s="43" t="s">
        <v>243</v>
      </c>
      <c r="D63" s="71" t="s">
        <v>1282</v>
      </c>
      <c r="E63" s="71" t="s">
        <v>1281</v>
      </c>
      <c r="F63" s="70" t="s">
        <v>187</v>
      </c>
      <c r="G63" s="66">
        <v>46190</v>
      </c>
      <c r="H63" s="72"/>
      <c r="I63" s="22">
        <v>68556</v>
      </c>
      <c r="J63" s="37"/>
      <c r="K63" s="68"/>
      <c r="L63" s="24">
        <f>I63</f>
        <v>68556</v>
      </c>
      <c r="M63" s="69"/>
      <c r="N63" s="22" t="s">
        <v>155</v>
      </c>
      <c r="O63" s="70"/>
    </row>
    <row r="64" spans="2:15" ht="15.75" x14ac:dyDescent="0.25">
      <c r="B64" s="169" t="s">
        <v>25</v>
      </c>
      <c r="C64" s="170"/>
      <c r="D64" s="170"/>
      <c r="E64" s="170"/>
      <c r="F64" s="170"/>
      <c r="G64" s="170"/>
      <c r="H64" s="170"/>
      <c r="I64" s="171"/>
      <c r="J64" s="25">
        <f>SUM(J54:J63)</f>
        <v>14982200</v>
      </c>
      <c r="K64" s="74">
        <f>SUM(K54:K63)</f>
        <v>0</v>
      </c>
      <c r="L64" s="60">
        <f>SUM(L54:L63)</f>
        <v>5465052</v>
      </c>
      <c r="M64" s="60">
        <f>SUM(M54:M63)</f>
        <v>0</v>
      </c>
      <c r="N64" s="39"/>
      <c r="O64" s="75">
        <f>SUM(J64+K64+L64+M64)</f>
        <v>20447252</v>
      </c>
    </row>
    <row r="65" spans="1:15" ht="15.75" x14ac:dyDescent="0.25">
      <c r="B65" s="172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</row>
    <row r="66" spans="1:15" x14ac:dyDescent="0.25">
      <c r="B66" s="44">
        <v>1</v>
      </c>
      <c r="C66" s="12" t="s">
        <v>330</v>
      </c>
      <c r="D66" s="71" t="s">
        <v>1278</v>
      </c>
      <c r="E66" s="71" t="s">
        <v>328</v>
      </c>
      <c r="F66" s="70" t="s">
        <v>329</v>
      </c>
      <c r="G66" s="66">
        <v>46190</v>
      </c>
      <c r="H66" s="72"/>
      <c r="I66" s="22">
        <v>215100</v>
      </c>
      <c r="J66" s="73">
        <f>I66</f>
        <v>215100</v>
      </c>
      <c r="K66" s="68"/>
      <c r="L66" s="69"/>
      <c r="M66" s="69"/>
      <c r="N66" s="22" t="s">
        <v>155</v>
      </c>
      <c r="O66" s="70"/>
    </row>
    <row r="67" spans="1:15" x14ac:dyDescent="0.25">
      <c r="B67" s="44">
        <v>2</v>
      </c>
      <c r="C67" s="12" t="s">
        <v>330</v>
      </c>
      <c r="D67" s="71" t="s">
        <v>1279</v>
      </c>
      <c r="E67" s="71" t="s">
        <v>328</v>
      </c>
      <c r="F67" s="70" t="s">
        <v>329</v>
      </c>
      <c r="G67" s="66">
        <v>46190</v>
      </c>
      <c r="H67" s="72"/>
      <c r="I67" s="22">
        <v>79200</v>
      </c>
      <c r="J67" s="73"/>
      <c r="K67" s="68"/>
      <c r="L67" s="24">
        <f>I67</f>
        <v>79200</v>
      </c>
      <c r="M67" s="24"/>
      <c r="N67" s="22" t="s">
        <v>155</v>
      </c>
      <c r="O67" s="70"/>
    </row>
    <row r="68" spans="1:15" ht="15.75" x14ac:dyDescent="0.25">
      <c r="A68" t="s">
        <v>3</v>
      </c>
      <c r="B68" s="169" t="s">
        <v>25</v>
      </c>
      <c r="C68" s="170"/>
      <c r="D68" s="170"/>
      <c r="E68" s="170"/>
      <c r="F68" s="170"/>
      <c r="G68" s="170"/>
      <c r="H68" s="170"/>
      <c r="I68" s="171"/>
      <c r="J68" s="76">
        <f>SUM(J66:J67)</f>
        <v>215100</v>
      </c>
      <c r="K68" s="74">
        <f>SUM(K66:K67)</f>
        <v>0</v>
      </c>
      <c r="L68" s="60">
        <f>SUM(L66:L67)</f>
        <v>79200</v>
      </c>
      <c r="M68" s="60">
        <f>SUM(M66:M67)</f>
        <v>0</v>
      </c>
      <c r="N68" s="39"/>
      <c r="O68" s="75">
        <f>SUM(J68+K68+L68+M68)</f>
        <v>294300</v>
      </c>
    </row>
    <row r="69" spans="1:15" x14ac:dyDescent="0.25">
      <c r="D69" s="57"/>
      <c r="I69" s="58"/>
      <c r="J69" s="58"/>
    </row>
    <row r="70" spans="1:15" ht="15.75" x14ac:dyDescent="0.25">
      <c r="D70" s="57"/>
      <c r="G70" s="162" t="s">
        <v>1646</v>
      </c>
      <c r="H70" s="162"/>
      <c r="I70" s="163"/>
      <c r="J70" s="25">
        <f>SUM(J68+J64)</f>
        <v>15197300</v>
      </c>
      <c r="K70" s="74">
        <f>SUM(K68+K64)</f>
        <v>0</v>
      </c>
      <c r="L70" s="60">
        <f>SUM(L68+L64)</f>
        <v>5544252</v>
      </c>
      <c r="M70" s="60">
        <f>SUM(M68+M64)</f>
        <v>0</v>
      </c>
      <c r="N70" s="39"/>
      <c r="O70" s="77">
        <f>SUM(J70+K70+L70+M70)</f>
        <v>20741552</v>
      </c>
    </row>
    <row r="71" spans="1:15" ht="15.75" x14ac:dyDescent="0.25">
      <c r="D71" s="57"/>
      <c r="H71" s="41"/>
      <c r="I71" s="41"/>
      <c r="J71" s="41"/>
      <c r="K71" s="78"/>
      <c r="L71" s="78"/>
      <c r="M71" s="78"/>
      <c r="N71" s="79"/>
      <c r="O71" s="80"/>
    </row>
    <row r="72" spans="1:15" ht="15.75" x14ac:dyDescent="0.25">
      <c r="D72" s="57"/>
      <c r="H72" s="174" t="s">
        <v>27</v>
      </c>
      <c r="I72" s="175"/>
      <c r="J72" s="180" t="s">
        <v>14</v>
      </c>
      <c r="K72" s="180"/>
      <c r="L72" s="181" t="s">
        <v>15</v>
      </c>
      <c r="M72" s="181"/>
      <c r="N72" s="70"/>
      <c r="O72" s="182"/>
    </row>
    <row r="73" spans="1:15" ht="15.75" x14ac:dyDescent="0.25">
      <c r="D73" s="57"/>
      <c r="H73" s="176"/>
      <c r="I73" s="177"/>
      <c r="J73" s="6" t="s">
        <v>17</v>
      </c>
      <c r="K73" s="81" t="s">
        <v>18</v>
      </c>
      <c r="L73" s="82" t="s">
        <v>17</v>
      </c>
      <c r="M73" s="82" t="s">
        <v>18</v>
      </c>
      <c r="N73" s="70"/>
      <c r="O73" s="182"/>
    </row>
    <row r="74" spans="1:15" ht="15.75" x14ac:dyDescent="0.25">
      <c r="D74" s="57"/>
      <c r="H74" s="178"/>
      <c r="I74" s="179"/>
      <c r="J74" s="74">
        <f>SUM(J48,J70)</f>
        <v>28576200</v>
      </c>
      <c r="K74" s="74">
        <f>SUM(K70+K48)</f>
        <v>0</v>
      </c>
      <c r="L74" s="60">
        <f>SUM(L70+L48)</f>
        <v>7960866</v>
      </c>
      <c r="M74" s="60">
        <f>SUM(M70+M48)</f>
        <v>0</v>
      </c>
      <c r="N74" s="39"/>
      <c r="O74" s="182"/>
    </row>
    <row r="75" spans="1:15" x14ac:dyDescent="0.25">
      <c r="D75" s="57"/>
      <c r="I75" s="58"/>
      <c r="J75" s="58"/>
    </row>
    <row r="76" spans="1:15" ht="18.75" x14ac:dyDescent="0.3">
      <c r="D76" s="57"/>
      <c r="H76" s="183"/>
      <c r="I76" s="183"/>
      <c r="J76" s="83"/>
      <c r="L76" s="184" t="s">
        <v>28</v>
      </c>
      <c r="M76" s="185"/>
      <c r="N76" s="84">
        <f>SUM(J74+L74)</f>
        <v>36537066</v>
      </c>
      <c r="O76" s="186">
        <f>SUM(N76+N77)</f>
        <v>36537066</v>
      </c>
    </row>
    <row r="77" spans="1:15" ht="18.75" x14ac:dyDescent="0.3">
      <c r="D77" s="57"/>
      <c r="H77" s="183"/>
      <c r="I77" s="183"/>
      <c r="J77" s="83"/>
      <c r="L77" s="184" t="s">
        <v>29</v>
      </c>
      <c r="M77" s="185"/>
      <c r="N77" s="84">
        <f>SUM(K74+M74)</f>
        <v>0</v>
      </c>
      <c r="O77" s="187"/>
    </row>
    <row r="78" spans="1:15" ht="18.75" x14ac:dyDescent="0.3">
      <c r="D78" s="57"/>
      <c r="H78" s="168"/>
      <c r="I78" s="168"/>
      <c r="J78" s="85"/>
      <c r="K78" s="86"/>
    </row>
    <row r="79" spans="1:15" x14ac:dyDescent="0.25">
      <c r="D79" s="2" t="s">
        <v>30</v>
      </c>
      <c r="E79" s="1"/>
      <c r="F79" s="1"/>
      <c r="G79" s="1"/>
      <c r="H79" s="1"/>
      <c r="I79" s="1"/>
      <c r="J79" s="1"/>
      <c r="K79" s="1"/>
    </row>
    <row r="80" spans="1:15" x14ac:dyDescent="0.25">
      <c r="D80" s="2"/>
      <c r="E80" s="1"/>
      <c r="F80" s="1"/>
      <c r="G80" s="1"/>
      <c r="H80" s="1"/>
      <c r="I80" s="1"/>
      <c r="J80" s="1"/>
      <c r="K80" s="1"/>
    </row>
    <row r="81" spans="4:11" x14ac:dyDescent="0.25">
      <c r="D81" s="3" t="s">
        <v>31</v>
      </c>
      <c r="E81" s="3"/>
      <c r="F81" s="3" t="s">
        <v>32</v>
      </c>
      <c r="G81" s="3"/>
      <c r="H81" s="3" t="s">
        <v>33</v>
      </c>
      <c r="I81" s="3"/>
      <c r="J81" s="3" t="s">
        <v>34</v>
      </c>
      <c r="K81" s="3"/>
    </row>
    <row r="82" spans="4:11" x14ac:dyDescent="0.25">
      <c r="D82" s="3"/>
      <c r="E82" s="3"/>
      <c r="F82" s="3"/>
      <c r="G82" s="3"/>
      <c r="H82" s="3"/>
      <c r="I82" s="3"/>
      <c r="J82" s="3"/>
      <c r="K82" s="3"/>
    </row>
    <row r="83" spans="4:11" x14ac:dyDescent="0.25">
      <c r="D83" s="3"/>
      <c r="E83" s="3"/>
      <c r="F83" s="3"/>
      <c r="G83" s="3"/>
      <c r="H83" s="3"/>
      <c r="I83" s="3"/>
      <c r="J83" s="3"/>
      <c r="K83" s="3"/>
    </row>
    <row r="84" spans="4:11" x14ac:dyDescent="0.25">
      <c r="D84" s="3"/>
      <c r="E84" s="3"/>
      <c r="F84" s="3"/>
      <c r="G84" s="3"/>
      <c r="H84" s="3"/>
      <c r="I84" s="3"/>
      <c r="J84" s="3"/>
      <c r="K84" s="3"/>
    </row>
    <row r="85" spans="4:11" x14ac:dyDescent="0.25">
      <c r="D85" s="3" t="s">
        <v>35</v>
      </c>
      <c r="E85" s="3"/>
      <c r="F85" s="3" t="s">
        <v>36</v>
      </c>
      <c r="G85" s="3"/>
      <c r="H85" s="3" t="s">
        <v>36</v>
      </c>
      <c r="I85" s="3"/>
      <c r="J85" s="3" t="s">
        <v>37</v>
      </c>
      <c r="K85" s="3"/>
    </row>
    <row r="86" spans="4:11" x14ac:dyDescent="0.25">
      <c r="D86" s="57"/>
    </row>
    <row r="87" spans="4:11" x14ac:dyDescent="0.25">
      <c r="D87" s="57"/>
    </row>
    <row r="88" spans="4:11" x14ac:dyDescent="0.25">
      <c r="D88" s="57"/>
    </row>
    <row r="89" spans="4:11" x14ac:dyDescent="0.25">
      <c r="D89" s="57"/>
    </row>
    <row r="90" spans="4:11" x14ac:dyDescent="0.25">
      <c r="D90" s="57"/>
    </row>
  </sheetData>
  <mergeCells count="48">
    <mergeCell ref="B22:I22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1:G52"/>
    <mergeCell ref="B23:O23"/>
    <mergeCell ref="B33:I33"/>
    <mergeCell ref="B34:O34"/>
    <mergeCell ref="B45:I45"/>
    <mergeCell ref="G48:I48"/>
    <mergeCell ref="B50:D50"/>
    <mergeCell ref="B51:B52"/>
    <mergeCell ref="C51:C52"/>
    <mergeCell ref="D51:D52"/>
    <mergeCell ref="E51:E52"/>
    <mergeCell ref="F51:F52"/>
    <mergeCell ref="H51:H52"/>
    <mergeCell ref="I51:I52"/>
    <mergeCell ref="J51:N51"/>
    <mergeCell ref="O51:O52"/>
    <mergeCell ref="G70:I70"/>
    <mergeCell ref="J52:K52"/>
    <mergeCell ref="L52:M52"/>
    <mergeCell ref="H78:I78"/>
    <mergeCell ref="B64:I64"/>
    <mergeCell ref="B65:O65"/>
    <mergeCell ref="B68:I68"/>
    <mergeCell ref="H72:I74"/>
    <mergeCell ref="J72:K72"/>
    <mergeCell ref="L72:M72"/>
    <mergeCell ref="O72:O74"/>
    <mergeCell ref="H76:I76"/>
    <mergeCell ref="L76:M76"/>
    <mergeCell ref="O76:O77"/>
    <mergeCell ref="H77:I77"/>
    <mergeCell ref="L77:M77"/>
  </mergeCells>
  <pageMargins left="0" right="0" top="0" bottom="0" header="0" footer="0"/>
  <pageSetup paperSize="9" scale="65" orientation="landscape" horizontalDpi="4294967293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C992-CB01-49C3-9427-FF7C981BCECE}">
  <dimension ref="A2:Q96"/>
  <sheetViews>
    <sheetView topLeftCell="A64" workbookViewId="0">
      <selection activeCell="G76" sqref="G76:I7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1284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1285</v>
      </c>
      <c r="E9" s="14" t="s">
        <v>536</v>
      </c>
      <c r="F9" s="15" t="s">
        <v>336</v>
      </c>
      <c r="G9" s="16">
        <v>46164</v>
      </c>
      <c r="H9" s="16">
        <v>46177</v>
      </c>
      <c r="I9" s="23">
        <v>215100</v>
      </c>
      <c r="J9" s="18">
        <v>200000</v>
      </c>
      <c r="K9" s="19"/>
      <c r="L9" s="24"/>
      <c r="M9" s="24"/>
      <c r="N9" s="22" t="s">
        <v>158</v>
      </c>
      <c r="O9" s="22"/>
    </row>
    <row r="10" spans="2:17" x14ac:dyDescent="0.25">
      <c r="B10" s="11">
        <v>2</v>
      </c>
      <c r="C10" s="12"/>
      <c r="D10" s="13" t="s">
        <v>1286</v>
      </c>
      <c r="E10" s="14" t="s">
        <v>1287</v>
      </c>
      <c r="F10" s="15" t="s">
        <v>333</v>
      </c>
      <c r="G10" s="16">
        <v>46178</v>
      </c>
      <c r="H10" s="16">
        <v>46191</v>
      </c>
      <c r="I10" s="23">
        <v>1087600</v>
      </c>
      <c r="J10" s="18">
        <f t="shared" ref="J10:J12" si="0">I10</f>
        <v>1087600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1288</v>
      </c>
      <c r="E11" s="14" t="s">
        <v>332</v>
      </c>
      <c r="F11" s="15" t="s">
        <v>333</v>
      </c>
      <c r="G11" s="16">
        <v>46178</v>
      </c>
      <c r="H11" s="16">
        <v>46191</v>
      </c>
      <c r="I11" s="23">
        <v>1643500</v>
      </c>
      <c r="J11" s="18">
        <v>1366500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1289</v>
      </c>
      <c r="E12" s="14" t="s">
        <v>143</v>
      </c>
      <c r="F12" s="15" t="s">
        <v>338</v>
      </c>
      <c r="G12" s="16">
        <v>46178</v>
      </c>
      <c r="H12" s="16">
        <v>46191</v>
      </c>
      <c r="I12" s="23">
        <v>1075500</v>
      </c>
      <c r="J12" s="18">
        <f t="shared" si="0"/>
        <v>1075500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1290</v>
      </c>
      <c r="E13" s="14" t="s">
        <v>335</v>
      </c>
      <c r="F13" s="15" t="s">
        <v>336</v>
      </c>
      <c r="G13" s="16">
        <v>46178</v>
      </c>
      <c r="H13" s="16">
        <v>46191</v>
      </c>
      <c r="I13" s="23">
        <v>72000</v>
      </c>
      <c r="J13" s="18"/>
      <c r="K13" s="19"/>
      <c r="L13" s="24">
        <f t="shared" ref="L13:L15" si="1">I13</f>
        <v>72000</v>
      </c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1291</v>
      </c>
      <c r="E14" s="14" t="s">
        <v>143</v>
      </c>
      <c r="F14" s="15" t="s">
        <v>338</v>
      </c>
      <c r="G14" s="16">
        <v>46178</v>
      </c>
      <c r="H14" s="16">
        <v>46191</v>
      </c>
      <c r="I14" s="23">
        <v>592500</v>
      </c>
      <c r="J14" s="18"/>
      <c r="K14" s="19"/>
      <c r="L14" s="24">
        <f t="shared" si="1"/>
        <v>592500</v>
      </c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1292</v>
      </c>
      <c r="E15" s="14" t="s">
        <v>340</v>
      </c>
      <c r="F15" s="15" t="s">
        <v>341</v>
      </c>
      <c r="G15" s="16">
        <v>46178</v>
      </c>
      <c r="H15" s="16">
        <v>46191</v>
      </c>
      <c r="I15" s="23">
        <v>1628700</v>
      </c>
      <c r="J15" s="18"/>
      <c r="K15" s="19"/>
      <c r="L15" s="24">
        <f t="shared" si="1"/>
        <v>1628700</v>
      </c>
      <c r="M15" s="24"/>
      <c r="N15" s="22" t="s">
        <v>155</v>
      </c>
      <c r="O15" s="22"/>
    </row>
    <row r="16" spans="2:17" ht="15.75" x14ac:dyDescent="0.25">
      <c r="B16" s="169" t="s">
        <v>13</v>
      </c>
      <c r="C16" s="170"/>
      <c r="D16" s="170"/>
      <c r="E16" s="170"/>
      <c r="F16" s="170"/>
      <c r="G16" s="170"/>
      <c r="H16" s="170"/>
      <c r="I16" s="171"/>
      <c r="J16" s="25">
        <f>SUM(J9:J15)</f>
        <v>3729600</v>
      </c>
      <c r="K16" s="26">
        <f>SUM(K9:K15)</f>
        <v>0</v>
      </c>
      <c r="L16" s="27">
        <f>SUM(L9:L15)</f>
        <v>2293200</v>
      </c>
      <c r="M16" s="28">
        <f>SUM(M9:M15)</f>
        <v>0</v>
      </c>
      <c r="N16" s="29"/>
      <c r="O16" s="30">
        <f>SUM(J16+K16+L16+M16)</f>
        <v>6022800</v>
      </c>
    </row>
    <row r="17" spans="2:15" ht="15.75" x14ac:dyDescent="0.25"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</row>
    <row r="18" spans="2:15" x14ac:dyDescent="0.25">
      <c r="B18" s="11">
        <v>1</v>
      </c>
      <c r="C18" s="31" t="s">
        <v>20</v>
      </c>
      <c r="D18" s="13" t="s">
        <v>1250</v>
      </c>
      <c r="E18" s="32" t="s">
        <v>1251</v>
      </c>
      <c r="F18" s="33" t="s">
        <v>271</v>
      </c>
      <c r="G18" s="34">
        <v>46163</v>
      </c>
      <c r="H18" s="35">
        <v>46176</v>
      </c>
      <c r="I18" s="36">
        <v>358900</v>
      </c>
      <c r="J18" s="37">
        <f>I18</f>
        <v>358900</v>
      </c>
      <c r="K18" s="19"/>
      <c r="L18" s="24"/>
      <c r="M18" s="24"/>
      <c r="N18" s="22" t="s">
        <v>155</v>
      </c>
      <c r="O18" s="22"/>
    </row>
    <row r="19" spans="2:15" x14ac:dyDescent="0.25">
      <c r="B19" s="11">
        <v>2</v>
      </c>
      <c r="C19" s="31"/>
      <c r="D19" s="13" t="s">
        <v>357</v>
      </c>
      <c r="E19" s="32" t="s">
        <v>358</v>
      </c>
      <c r="F19" s="33" t="s">
        <v>353</v>
      </c>
      <c r="G19" s="34">
        <v>46164</v>
      </c>
      <c r="H19" s="35">
        <v>46177</v>
      </c>
      <c r="I19" s="36">
        <v>230200</v>
      </c>
      <c r="J19" s="37">
        <f t="shared" ref="J19:J29" si="2">I19</f>
        <v>230200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3</v>
      </c>
      <c r="C20" s="31"/>
      <c r="D20" s="13" t="s">
        <v>359</v>
      </c>
      <c r="E20" s="32" t="s">
        <v>360</v>
      </c>
      <c r="F20" s="33" t="s">
        <v>354</v>
      </c>
      <c r="G20" s="34">
        <v>46164</v>
      </c>
      <c r="H20" s="35">
        <v>46177</v>
      </c>
      <c r="I20" s="36">
        <v>574000</v>
      </c>
      <c r="J20" s="37">
        <f t="shared" si="2"/>
        <v>574000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4</v>
      </c>
      <c r="C21" s="31"/>
      <c r="D21" s="13" t="s">
        <v>366</v>
      </c>
      <c r="E21" s="32" t="s">
        <v>367</v>
      </c>
      <c r="F21" s="33" t="s">
        <v>388</v>
      </c>
      <c r="G21" s="34">
        <v>46164</v>
      </c>
      <c r="H21" s="35">
        <v>46177</v>
      </c>
      <c r="I21" s="36">
        <v>1500000</v>
      </c>
      <c r="J21" s="37">
        <f t="shared" si="2"/>
        <v>1500000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5</v>
      </c>
      <c r="C22" s="31"/>
      <c r="D22" s="13" t="s">
        <v>1293</v>
      </c>
      <c r="E22" s="32" t="s">
        <v>1294</v>
      </c>
      <c r="F22" s="33" t="s">
        <v>372</v>
      </c>
      <c r="G22" s="34">
        <v>46177</v>
      </c>
      <c r="H22" s="35">
        <v>46190</v>
      </c>
      <c r="I22" s="36">
        <v>215100</v>
      </c>
      <c r="J22" s="37">
        <f t="shared" si="2"/>
        <v>215100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6</v>
      </c>
      <c r="C23" s="31"/>
      <c r="D23" s="13" t="s">
        <v>1252</v>
      </c>
      <c r="E23" s="32" t="s">
        <v>273</v>
      </c>
      <c r="F23" s="33" t="s">
        <v>271</v>
      </c>
      <c r="G23" s="34">
        <v>46177</v>
      </c>
      <c r="H23" s="35">
        <v>46190</v>
      </c>
      <c r="I23" s="36">
        <v>147000</v>
      </c>
      <c r="J23" s="37">
        <f t="shared" si="2"/>
        <v>147000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7</v>
      </c>
      <c r="C24" s="31"/>
      <c r="D24" s="13" t="s">
        <v>1295</v>
      </c>
      <c r="E24" s="32" t="s">
        <v>275</v>
      </c>
      <c r="F24" s="33" t="s">
        <v>271</v>
      </c>
      <c r="G24" s="34">
        <v>46177</v>
      </c>
      <c r="H24" s="35">
        <v>46190</v>
      </c>
      <c r="I24" s="36">
        <v>328700</v>
      </c>
      <c r="J24" s="37">
        <f t="shared" si="2"/>
        <v>328700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8</v>
      </c>
      <c r="C25" s="31"/>
      <c r="D25" s="13" t="s">
        <v>1296</v>
      </c>
      <c r="E25" s="32" t="s">
        <v>1297</v>
      </c>
      <c r="F25" s="33" t="s">
        <v>271</v>
      </c>
      <c r="G25" s="34">
        <v>46177</v>
      </c>
      <c r="H25" s="35">
        <v>46190</v>
      </c>
      <c r="I25" s="36">
        <v>113600</v>
      </c>
      <c r="J25" s="37">
        <f t="shared" si="2"/>
        <v>113600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9</v>
      </c>
      <c r="C26" s="31"/>
      <c r="D26" s="13" t="s">
        <v>1298</v>
      </c>
      <c r="E26" s="32" t="s">
        <v>371</v>
      </c>
      <c r="F26" s="33" t="s">
        <v>372</v>
      </c>
      <c r="G26" s="34">
        <v>46177</v>
      </c>
      <c r="H26" s="35">
        <v>46190</v>
      </c>
      <c r="I26" s="36">
        <v>227200</v>
      </c>
      <c r="J26" s="37">
        <f t="shared" si="2"/>
        <v>227200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10</v>
      </c>
      <c r="C27" s="31"/>
      <c r="D27" s="13" t="s">
        <v>1299</v>
      </c>
      <c r="E27" s="32" t="s">
        <v>374</v>
      </c>
      <c r="F27" s="33" t="s">
        <v>280</v>
      </c>
      <c r="G27" s="34">
        <v>46177</v>
      </c>
      <c r="H27" s="35">
        <v>46190</v>
      </c>
      <c r="I27" s="36">
        <v>430200</v>
      </c>
      <c r="J27" s="37">
        <f t="shared" si="2"/>
        <v>430200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11</v>
      </c>
      <c r="C28" s="31"/>
      <c r="D28" s="13" t="s">
        <v>1300</v>
      </c>
      <c r="E28" s="32" t="s">
        <v>362</v>
      </c>
      <c r="F28" s="33" t="s">
        <v>354</v>
      </c>
      <c r="G28" s="34">
        <v>46178</v>
      </c>
      <c r="H28" s="35">
        <v>46191</v>
      </c>
      <c r="I28" s="36">
        <v>328700</v>
      </c>
      <c r="J28" s="37">
        <f t="shared" si="2"/>
        <v>328700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12</v>
      </c>
      <c r="C29" s="31"/>
      <c r="D29" s="13" t="s">
        <v>1301</v>
      </c>
      <c r="E29" s="32" t="s">
        <v>364</v>
      </c>
      <c r="F29" s="33" t="s">
        <v>388</v>
      </c>
      <c r="G29" s="34">
        <v>46178</v>
      </c>
      <c r="H29" s="35">
        <v>46191</v>
      </c>
      <c r="I29" s="36">
        <v>215100</v>
      </c>
      <c r="J29" s="37">
        <f t="shared" si="2"/>
        <v>215100</v>
      </c>
      <c r="K29" s="19"/>
      <c r="L29" s="24"/>
      <c r="M29" s="24"/>
      <c r="N29" s="22" t="s">
        <v>155</v>
      </c>
      <c r="O29" s="22"/>
    </row>
    <row r="30" spans="2:15" x14ac:dyDescent="0.25">
      <c r="B30" s="11">
        <v>13</v>
      </c>
      <c r="C30" s="31"/>
      <c r="D30" s="13" t="s">
        <v>1302</v>
      </c>
      <c r="E30" s="32" t="s">
        <v>1303</v>
      </c>
      <c r="F30" s="33" t="s">
        <v>1304</v>
      </c>
      <c r="G30" s="34">
        <v>46170</v>
      </c>
      <c r="H30" s="35">
        <v>46183</v>
      </c>
      <c r="I30" s="36">
        <v>261000</v>
      </c>
      <c r="J30" s="37"/>
      <c r="K30" s="19"/>
      <c r="L30" s="24">
        <f t="shared" ref="L30:L34" si="3">I30</f>
        <v>261000</v>
      </c>
      <c r="M30" s="24"/>
      <c r="N30" s="22" t="s">
        <v>155</v>
      </c>
      <c r="O30" s="22"/>
    </row>
    <row r="31" spans="2:15" x14ac:dyDescent="0.25">
      <c r="B31" s="11">
        <v>14</v>
      </c>
      <c r="C31" s="31"/>
      <c r="D31" s="13" t="s">
        <v>1305</v>
      </c>
      <c r="E31" s="32" t="s">
        <v>374</v>
      </c>
      <c r="F31" s="33" t="s">
        <v>280</v>
      </c>
      <c r="G31" s="34">
        <v>46177</v>
      </c>
      <c r="H31" s="35">
        <v>46190</v>
      </c>
      <c r="I31" s="36">
        <v>117140</v>
      </c>
      <c r="J31" s="37"/>
      <c r="K31" s="19"/>
      <c r="L31" s="24">
        <f t="shared" si="3"/>
        <v>117140</v>
      </c>
      <c r="M31" s="24"/>
      <c r="N31" s="22" t="s">
        <v>155</v>
      </c>
      <c r="O31" s="22"/>
    </row>
    <row r="32" spans="2:15" x14ac:dyDescent="0.25">
      <c r="B32" s="11">
        <v>15</v>
      </c>
      <c r="C32" s="31"/>
      <c r="D32" s="13" t="s">
        <v>1306</v>
      </c>
      <c r="E32" s="32" t="s">
        <v>381</v>
      </c>
      <c r="F32" s="33" t="s">
        <v>271</v>
      </c>
      <c r="G32" s="34">
        <v>46177</v>
      </c>
      <c r="H32" s="35">
        <v>46190</v>
      </c>
      <c r="I32" s="36">
        <v>231000</v>
      </c>
      <c r="J32" s="37"/>
      <c r="K32" s="19"/>
      <c r="L32" s="24">
        <f t="shared" si="3"/>
        <v>231000</v>
      </c>
      <c r="M32" s="24"/>
      <c r="N32" s="22" t="s">
        <v>155</v>
      </c>
      <c r="O32" s="22"/>
    </row>
    <row r="33" spans="2:15" x14ac:dyDescent="0.25">
      <c r="B33" s="11">
        <v>16</v>
      </c>
      <c r="C33" s="31"/>
      <c r="D33" s="13" t="s">
        <v>1307</v>
      </c>
      <c r="E33" s="32" t="s">
        <v>364</v>
      </c>
      <c r="F33" s="33" t="s">
        <v>388</v>
      </c>
      <c r="G33" s="34">
        <v>46178</v>
      </c>
      <c r="H33" s="35">
        <v>46191</v>
      </c>
      <c r="I33" s="36">
        <v>34278</v>
      </c>
      <c r="J33" s="37"/>
      <c r="K33" s="19"/>
      <c r="L33" s="24">
        <f t="shared" si="3"/>
        <v>34278</v>
      </c>
      <c r="M33" s="24"/>
      <c r="N33" s="22" t="s">
        <v>155</v>
      </c>
      <c r="O33" s="22"/>
    </row>
    <row r="34" spans="2:15" x14ac:dyDescent="0.25">
      <c r="B34" s="11">
        <v>17</v>
      </c>
      <c r="C34" s="31"/>
      <c r="D34" s="13" t="s">
        <v>1308</v>
      </c>
      <c r="E34" s="32" t="s">
        <v>387</v>
      </c>
      <c r="F34" s="33" t="s">
        <v>388</v>
      </c>
      <c r="G34" s="34">
        <v>46178</v>
      </c>
      <c r="H34" s="35">
        <v>46191</v>
      </c>
      <c r="I34" s="36">
        <v>146400</v>
      </c>
      <c r="J34" s="37"/>
      <c r="K34" s="19"/>
      <c r="L34" s="24">
        <f t="shared" si="3"/>
        <v>146400</v>
      </c>
      <c r="M34" s="24"/>
      <c r="N34" s="22" t="s">
        <v>155</v>
      </c>
      <c r="O34" s="22"/>
    </row>
    <row r="35" spans="2:15" ht="15.75" x14ac:dyDescent="0.25">
      <c r="B35" s="192" t="s">
        <v>13</v>
      </c>
      <c r="C35" s="193"/>
      <c r="D35" s="193"/>
      <c r="E35" s="193"/>
      <c r="F35" s="193"/>
      <c r="G35" s="193"/>
      <c r="H35" s="193"/>
      <c r="I35" s="194"/>
      <c r="J35" s="38">
        <f>SUM(J18:J34)</f>
        <v>4668700</v>
      </c>
      <c r="K35" s="26">
        <f>SUM(K18:K34)</f>
        <v>0</v>
      </c>
      <c r="L35" s="27">
        <f>SUM(L18:L34)</f>
        <v>789818</v>
      </c>
      <c r="M35" s="27">
        <f>SUM(M18:M34)</f>
        <v>0</v>
      </c>
      <c r="N35" s="39"/>
      <c r="O35" s="40">
        <f>SUM(J35+K35+L35+M35)</f>
        <v>5458518</v>
      </c>
    </row>
    <row r="36" spans="2:15" ht="15.75" x14ac:dyDescent="0.25"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</row>
    <row r="37" spans="2:15" ht="15.75" x14ac:dyDescent="0.25">
      <c r="B37" s="42">
        <v>1</v>
      </c>
      <c r="C37" s="43" t="s">
        <v>21</v>
      </c>
      <c r="D37" s="44" t="s">
        <v>399</v>
      </c>
      <c r="E37" s="45" t="s">
        <v>400</v>
      </c>
      <c r="F37" s="45" t="s">
        <v>398</v>
      </c>
      <c r="G37" s="46">
        <v>46164</v>
      </c>
      <c r="H37" s="46">
        <v>46177</v>
      </c>
      <c r="I37" s="47">
        <v>5100</v>
      </c>
      <c r="J37" s="48">
        <f>I37</f>
        <v>5100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2</v>
      </c>
      <c r="C38" s="43"/>
      <c r="D38" s="44" t="s">
        <v>1309</v>
      </c>
      <c r="E38" s="45" t="s">
        <v>397</v>
      </c>
      <c r="F38" s="45" t="s">
        <v>398</v>
      </c>
      <c r="G38" s="46">
        <v>46178</v>
      </c>
      <c r="H38" s="46">
        <v>46191</v>
      </c>
      <c r="I38" s="47">
        <v>328700</v>
      </c>
      <c r="J38" s="48">
        <v>200000</v>
      </c>
      <c r="K38" s="49"/>
      <c r="L38" s="50"/>
      <c r="M38" s="50"/>
      <c r="N38" s="22" t="s">
        <v>158</v>
      </c>
      <c r="O38" s="42"/>
    </row>
    <row r="39" spans="2:15" ht="15.75" x14ac:dyDescent="0.25">
      <c r="B39" s="42">
        <v>3</v>
      </c>
      <c r="C39" s="43"/>
      <c r="D39" s="44" t="s">
        <v>1310</v>
      </c>
      <c r="E39" s="45" t="s">
        <v>402</v>
      </c>
      <c r="F39" s="45" t="s">
        <v>403</v>
      </c>
      <c r="G39" s="46">
        <v>46178</v>
      </c>
      <c r="H39" s="46">
        <v>46191</v>
      </c>
      <c r="I39" s="47">
        <v>328700</v>
      </c>
      <c r="J39" s="48">
        <v>200000</v>
      </c>
      <c r="K39" s="49"/>
      <c r="L39" s="50"/>
      <c r="M39" s="50"/>
      <c r="N39" s="22" t="s">
        <v>158</v>
      </c>
      <c r="O39" s="42"/>
    </row>
    <row r="40" spans="2:15" ht="15.75" x14ac:dyDescent="0.25">
      <c r="B40" s="42">
        <v>4</v>
      </c>
      <c r="C40" s="43"/>
      <c r="D40" s="44" t="s">
        <v>1311</v>
      </c>
      <c r="E40" s="45" t="s">
        <v>405</v>
      </c>
      <c r="F40" s="45" t="s">
        <v>406</v>
      </c>
      <c r="G40" s="46">
        <v>46178</v>
      </c>
      <c r="H40" s="46">
        <v>46191</v>
      </c>
      <c r="I40" s="47">
        <v>568000</v>
      </c>
      <c r="J40" s="48">
        <f t="shared" ref="J40:J41" si="4">I40</f>
        <v>568000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5</v>
      </c>
      <c r="C41" s="43"/>
      <c r="D41" s="44" t="s">
        <v>1312</v>
      </c>
      <c r="E41" s="45" t="s">
        <v>408</v>
      </c>
      <c r="F41" s="45" t="s">
        <v>409</v>
      </c>
      <c r="G41" s="46">
        <v>46178</v>
      </c>
      <c r="H41" s="46">
        <v>46191</v>
      </c>
      <c r="I41" s="47">
        <v>113600</v>
      </c>
      <c r="J41" s="48">
        <f t="shared" si="4"/>
        <v>113600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6</v>
      </c>
      <c r="C42" s="43"/>
      <c r="D42" s="44" t="s">
        <v>1313</v>
      </c>
      <c r="E42" s="45" t="s">
        <v>411</v>
      </c>
      <c r="F42" s="45" t="s">
        <v>409</v>
      </c>
      <c r="G42" s="46">
        <v>46178</v>
      </c>
      <c r="H42" s="46">
        <v>46191</v>
      </c>
      <c r="I42" s="47">
        <v>113600</v>
      </c>
      <c r="J42" s="48">
        <f>I42</f>
        <v>113600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7</v>
      </c>
      <c r="C43" s="43"/>
      <c r="D43" s="44" t="s">
        <v>1314</v>
      </c>
      <c r="E43" s="45" t="s">
        <v>400</v>
      </c>
      <c r="F43" s="45" t="s">
        <v>398</v>
      </c>
      <c r="G43" s="46">
        <v>46164</v>
      </c>
      <c r="H43" s="46">
        <v>46177</v>
      </c>
      <c r="I43" s="47">
        <v>504000</v>
      </c>
      <c r="J43" s="48"/>
      <c r="K43" s="49"/>
      <c r="L43" s="51">
        <f>I43</f>
        <v>504000</v>
      </c>
      <c r="M43" s="50"/>
      <c r="N43" s="22" t="s">
        <v>155</v>
      </c>
      <c r="O43" s="42"/>
    </row>
    <row r="44" spans="2:15" ht="15.75" x14ac:dyDescent="0.25">
      <c r="B44" s="42">
        <v>8</v>
      </c>
      <c r="C44" s="43"/>
      <c r="D44" s="44" t="s">
        <v>1315</v>
      </c>
      <c r="E44" s="45" t="s">
        <v>391</v>
      </c>
      <c r="F44" s="45" t="s">
        <v>392</v>
      </c>
      <c r="G44" s="46">
        <v>46177</v>
      </c>
      <c r="H44" s="46">
        <v>46190</v>
      </c>
      <c r="I44" s="47">
        <v>384280</v>
      </c>
      <c r="J44" s="48"/>
      <c r="K44" s="49"/>
      <c r="L44" s="51">
        <f t="shared" ref="L44:L47" si="5">I44</f>
        <v>384280</v>
      </c>
      <c r="M44" s="51"/>
      <c r="N44" s="22" t="s">
        <v>155</v>
      </c>
      <c r="O44" s="42"/>
    </row>
    <row r="45" spans="2:15" ht="15.75" x14ac:dyDescent="0.25">
      <c r="B45" s="42">
        <v>9</v>
      </c>
      <c r="C45" s="43"/>
      <c r="D45" s="44" t="s">
        <v>1316</v>
      </c>
      <c r="E45" s="45" t="s">
        <v>405</v>
      </c>
      <c r="F45" s="45" t="s">
        <v>406</v>
      </c>
      <c r="G45" s="46">
        <v>46178</v>
      </c>
      <c r="H45" s="46">
        <v>46191</v>
      </c>
      <c r="I45" s="47">
        <v>1526215</v>
      </c>
      <c r="J45" s="48"/>
      <c r="K45" s="49"/>
      <c r="L45" s="51">
        <f t="shared" si="5"/>
        <v>1526215</v>
      </c>
      <c r="M45" s="51"/>
      <c r="N45" s="22" t="s">
        <v>155</v>
      </c>
      <c r="O45" s="42"/>
    </row>
    <row r="46" spans="2:15" ht="15.75" x14ac:dyDescent="0.25">
      <c r="B46" s="42">
        <v>10</v>
      </c>
      <c r="C46" s="42"/>
      <c r="D46" s="44" t="s">
        <v>1317</v>
      </c>
      <c r="E46" s="45" t="s">
        <v>411</v>
      </c>
      <c r="F46" s="45" t="s">
        <v>409</v>
      </c>
      <c r="G46" s="46">
        <v>46178</v>
      </c>
      <c r="H46" s="46">
        <v>46191</v>
      </c>
      <c r="I46" s="47">
        <v>268780</v>
      </c>
      <c r="J46" s="48"/>
      <c r="K46" s="49"/>
      <c r="L46" s="51">
        <f t="shared" si="5"/>
        <v>268780</v>
      </c>
      <c r="M46" s="51"/>
      <c r="N46" s="22" t="s">
        <v>155</v>
      </c>
      <c r="O46" s="42"/>
    </row>
    <row r="47" spans="2:15" ht="15.75" x14ac:dyDescent="0.25">
      <c r="B47" s="42">
        <v>11</v>
      </c>
      <c r="C47" s="42"/>
      <c r="D47" s="44" t="s">
        <v>1318</v>
      </c>
      <c r="E47" s="45" t="s">
        <v>408</v>
      </c>
      <c r="F47" s="45" t="s">
        <v>409</v>
      </c>
      <c r="G47" s="46">
        <v>46178</v>
      </c>
      <c r="H47" s="46">
        <v>46191</v>
      </c>
      <c r="I47" s="47">
        <v>80000</v>
      </c>
      <c r="J47" s="48"/>
      <c r="K47" s="49"/>
      <c r="L47" s="51">
        <f t="shared" si="5"/>
        <v>80000</v>
      </c>
      <c r="M47" s="51"/>
      <c r="N47" s="22" t="s">
        <v>155</v>
      </c>
      <c r="O47" s="42"/>
    </row>
    <row r="48" spans="2:15" ht="15.75" x14ac:dyDescent="0.25">
      <c r="B48" s="197" t="s">
        <v>13</v>
      </c>
      <c r="C48" s="198"/>
      <c r="D48" s="198"/>
      <c r="E48" s="198"/>
      <c r="F48" s="198"/>
      <c r="G48" s="198"/>
      <c r="H48" s="198"/>
      <c r="I48" s="199"/>
      <c r="J48" s="52">
        <f>SUM(J37:J47)</f>
        <v>1200300</v>
      </c>
      <c r="K48" s="53">
        <f>SUM(K37:K47)</f>
        <v>0</v>
      </c>
      <c r="L48" s="54">
        <f>SUM(L37:L47)</f>
        <v>2763275</v>
      </c>
      <c r="M48" s="54">
        <f>SUM(M37:M47)</f>
        <v>0</v>
      </c>
      <c r="N48" s="55"/>
      <c r="O48" s="56">
        <f>SUM(J48+K48+L48+M48)</f>
        <v>3963575</v>
      </c>
    </row>
    <row r="49" spans="2:15" x14ac:dyDescent="0.25">
      <c r="D49" s="57"/>
      <c r="I49" s="58"/>
      <c r="J49" s="58"/>
    </row>
    <row r="50" spans="2:15" x14ac:dyDescent="0.25">
      <c r="D50" s="57"/>
      <c r="I50" s="58"/>
      <c r="J50" s="58"/>
    </row>
    <row r="51" spans="2:15" ht="15.75" x14ac:dyDescent="0.25">
      <c r="D51" s="57"/>
      <c r="G51" s="200" t="s">
        <v>22</v>
      </c>
      <c r="H51" s="200"/>
      <c r="I51" s="200"/>
      <c r="J51" s="59">
        <f>SUM(J48+J35+J16)</f>
        <v>9598600</v>
      </c>
      <c r="K51" s="26">
        <f>SUM(K48+K35+K16)</f>
        <v>0</v>
      </c>
      <c r="L51" s="60">
        <f>SUM(L48+L35+L16)</f>
        <v>5846293</v>
      </c>
      <c r="M51" s="60">
        <f>SUM(M48+M35+M16)</f>
        <v>0</v>
      </c>
      <c r="N51" s="39"/>
      <c r="O51" s="30">
        <f>SUM(J51+K51+L51+M51)</f>
        <v>15444893</v>
      </c>
    </row>
    <row r="52" spans="2:15" x14ac:dyDescent="0.25">
      <c r="D52" s="57"/>
      <c r="I52" s="58"/>
      <c r="J52" s="58"/>
    </row>
    <row r="53" spans="2:15" x14ac:dyDescent="0.25">
      <c r="B53" s="201" t="s">
        <v>17</v>
      </c>
      <c r="C53" s="201"/>
      <c r="D53" s="201"/>
      <c r="I53" s="58"/>
      <c r="J53" s="58"/>
    </row>
    <row r="54" spans="2:15" ht="15.75" x14ac:dyDescent="0.25">
      <c r="B54" s="188" t="s">
        <v>4</v>
      </c>
      <c r="C54" s="202" t="s">
        <v>23</v>
      </c>
      <c r="D54" s="188" t="s">
        <v>6</v>
      </c>
      <c r="E54" s="188" t="s">
        <v>7</v>
      </c>
      <c r="F54" s="188" t="s">
        <v>8</v>
      </c>
      <c r="G54" s="188" t="s">
        <v>9</v>
      </c>
      <c r="H54" s="188" t="s">
        <v>10</v>
      </c>
      <c r="I54" s="202" t="s">
        <v>24</v>
      </c>
      <c r="J54" s="169" t="s">
        <v>12</v>
      </c>
      <c r="K54" s="170"/>
      <c r="L54" s="170"/>
      <c r="M54" s="170"/>
      <c r="N54" s="171"/>
      <c r="O54" s="204" t="s">
        <v>13</v>
      </c>
    </row>
    <row r="55" spans="2:15" ht="15.75" x14ac:dyDescent="0.25">
      <c r="B55" s="189"/>
      <c r="C55" s="203"/>
      <c r="D55" s="189"/>
      <c r="E55" s="189"/>
      <c r="F55" s="189"/>
      <c r="G55" s="189"/>
      <c r="H55" s="189"/>
      <c r="I55" s="203"/>
      <c r="J55" s="164" t="s">
        <v>14</v>
      </c>
      <c r="K55" s="165"/>
      <c r="L55" s="166" t="s">
        <v>15</v>
      </c>
      <c r="M55" s="167"/>
      <c r="N55" s="4" t="s">
        <v>16</v>
      </c>
      <c r="O55" s="205"/>
    </row>
    <row r="56" spans="2:15" ht="15.75" x14ac:dyDescent="0.25">
      <c r="B56" s="5"/>
      <c r="C56" s="61"/>
      <c r="D56" s="5"/>
      <c r="E56" s="5"/>
      <c r="F56" s="5"/>
      <c r="G56" s="5"/>
      <c r="H56" s="5"/>
      <c r="I56" s="61"/>
      <c r="J56" s="62" t="s">
        <v>17</v>
      </c>
      <c r="K56" s="6" t="s">
        <v>18</v>
      </c>
      <c r="L56" s="10" t="s">
        <v>17</v>
      </c>
      <c r="M56" s="10" t="s">
        <v>18</v>
      </c>
      <c r="N56" s="4"/>
      <c r="O56" s="7"/>
    </row>
    <row r="57" spans="2:15" ht="15" customHeight="1" x14ac:dyDescent="0.25">
      <c r="B57" s="63">
        <v>1</v>
      </c>
      <c r="C57" s="43" t="s">
        <v>154</v>
      </c>
      <c r="D57" s="64" t="s">
        <v>1319</v>
      </c>
      <c r="E57" s="65" t="s">
        <v>1320</v>
      </c>
      <c r="F57" s="65" t="s">
        <v>1321</v>
      </c>
      <c r="G57" s="66">
        <v>46191</v>
      </c>
      <c r="H57" s="66"/>
      <c r="I57" s="67">
        <v>430200</v>
      </c>
      <c r="J57" s="37">
        <f>I57</f>
        <v>430200</v>
      </c>
      <c r="K57" s="68"/>
      <c r="L57" s="69"/>
      <c r="M57" s="69"/>
      <c r="N57" s="22" t="s">
        <v>155</v>
      </c>
      <c r="O57" s="70"/>
    </row>
    <row r="58" spans="2:15" ht="15" customHeight="1" x14ac:dyDescent="0.25">
      <c r="B58" s="63">
        <v>2</v>
      </c>
      <c r="C58" s="43" t="s">
        <v>154</v>
      </c>
      <c r="D58" s="71" t="s">
        <v>1322</v>
      </c>
      <c r="E58" s="71" t="s">
        <v>1323</v>
      </c>
      <c r="F58" s="70" t="s">
        <v>298</v>
      </c>
      <c r="G58" s="66">
        <v>46191</v>
      </c>
      <c r="H58" s="72"/>
      <c r="I58" s="22">
        <v>430200</v>
      </c>
      <c r="J58" s="37">
        <f t="shared" ref="J58:J60" si="6">I58</f>
        <v>430200</v>
      </c>
      <c r="K58" s="68"/>
      <c r="L58" s="24"/>
      <c r="M58" s="69"/>
      <c r="N58" s="22" t="s">
        <v>155</v>
      </c>
      <c r="O58" s="70"/>
    </row>
    <row r="59" spans="2:15" ht="15" customHeight="1" x14ac:dyDescent="0.25">
      <c r="B59" s="63">
        <v>3</v>
      </c>
      <c r="C59" s="43" t="s">
        <v>154</v>
      </c>
      <c r="D59" s="71" t="s">
        <v>1324</v>
      </c>
      <c r="E59" s="71" t="s">
        <v>151</v>
      </c>
      <c r="F59" s="70" t="s">
        <v>298</v>
      </c>
      <c r="G59" s="66">
        <v>46191</v>
      </c>
      <c r="H59" s="72"/>
      <c r="I59" s="22">
        <v>215100</v>
      </c>
      <c r="J59" s="37">
        <f t="shared" si="6"/>
        <v>215100</v>
      </c>
      <c r="K59" s="68"/>
      <c r="L59" s="24"/>
      <c r="M59" s="69"/>
      <c r="N59" s="22" t="s">
        <v>155</v>
      </c>
      <c r="O59" s="70"/>
    </row>
    <row r="60" spans="2:15" ht="15" customHeight="1" x14ac:dyDescent="0.25">
      <c r="B60" s="63">
        <v>4</v>
      </c>
      <c r="C60" s="43" t="s">
        <v>154</v>
      </c>
      <c r="D60" s="71" t="s">
        <v>1325</v>
      </c>
      <c r="E60" s="71" t="s">
        <v>1326</v>
      </c>
      <c r="F60" s="70" t="s">
        <v>1327</v>
      </c>
      <c r="G60" s="66">
        <v>46191</v>
      </c>
      <c r="H60" s="72"/>
      <c r="I60" s="22">
        <v>215100</v>
      </c>
      <c r="J60" s="37">
        <f t="shared" si="6"/>
        <v>215100</v>
      </c>
      <c r="K60" s="68"/>
      <c r="L60" s="24"/>
      <c r="M60" s="69"/>
      <c r="N60" s="22" t="s">
        <v>155</v>
      </c>
      <c r="O60" s="70"/>
    </row>
    <row r="61" spans="2:15" ht="15" customHeight="1" x14ac:dyDescent="0.25">
      <c r="B61" s="63">
        <v>5</v>
      </c>
      <c r="C61" s="43" t="s">
        <v>154</v>
      </c>
      <c r="D61" s="71" t="s">
        <v>1328</v>
      </c>
      <c r="E61" s="71" t="s">
        <v>381</v>
      </c>
      <c r="F61" s="70" t="s">
        <v>1321</v>
      </c>
      <c r="G61" s="66">
        <v>46191</v>
      </c>
      <c r="H61" s="72"/>
      <c r="I61" s="22">
        <v>37800</v>
      </c>
      <c r="J61" s="37"/>
      <c r="K61" s="68"/>
      <c r="L61" s="24">
        <f>I61</f>
        <v>37800</v>
      </c>
      <c r="M61" s="69"/>
      <c r="N61" s="22" t="s">
        <v>155</v>
      </c>
      <c r="O61" s="70"/>
    </row>
    <row r="62" spans="2:15" ht="15" customHeight="1" x14ac:dyDescent="0.25">
      <c r="B62" s="63">
        <v>6</v>
      </c>
      <c r="C62" s="43" t="s">
        <v>154</v>
      </c>
      <c r="D62" s="71" t="s">
        <v>1329</v>
      </c>
      <c r="E62" s="71" t="s">
        <v>1323</v>
      </c>
      <c r="F62" s="70" t="s">
        <v>298</v>
      </c>
      <c r="G62" s="66">
        <v>46191</v>
      </c>
      <c r="H62" s="72"/>
      <c r="I62" s="22">
        <v>73000</v>
      </c>
      <c r="J62" s="37"/>
      <c r="K62" s="68"/>
      <c r="L62" s="24">
        <v>73000</v>
      </c>
      <c r="M62" s="69"/>
      <c r="N62" s="22" t="s">
        <v>155</v>
      </c>
      <c r="O62" s="70"/>
    </row>
    <row r="63" spans="2:15" ht="15" customHeight="1" x14ac:dyDescent="0.25">
      <c r="B63" s="63">
        <v>7</v>
      </c>
      <c r="C63" s="43" t="s">
        <v>154</v>
      </c>
      <c r="D63" s="71" t="s">
        <v>1330</v>
      </c>
      <c r="E63" s="71" t="s">
        <v>151</v>
      </c>
      <c r="F63" s="70" t="s">
        <v>298</v>
      </c>
      <c r="G63" s="66">
        <v>46191</v>
      </c>
      <c r="H63" s="72"/>
      <c r="I63" s="22">
        <v>75600</v>
      </c>
      <c r="J63" s="37"/>
      <c r="K63" s="68"/>
      <c r="L63" s="24">
        <f t="shared" ref="L63" si="7">I63</f>
        <v>75600</v>
      </c>
      <c r="M63" s="69"/>
      <c r="N63" s="22" t="s">
        <v>155</v>
      </c>
      <c r="O63" s="70"/>
    </row>
    <row r="64" spans="2:15" ht="15" customHeight="1" x14ac:dyDescent="0.25">
      <c r="B64" s="63">
        <v>8</v>
      </c>
      <c r="C64" s="43" t="s">
        <v>154</v>
      </c>
      <c r="D64" s="71" t="s">
        <v>1331</v>
      </c>
      <c r="E64" s="71" t="s">
        <v>1332</v>
      </c>
      <c r="F64" s="70" t="s">
        <v>298</v>
      </c>
      <c r="G64" s="66">
        <v>46191</v>
      </c>
      <c r="H64" s="72"/>
      <c r="I64" s="22">
        <v>360000</v>
      </c>
      <c r="J64" s="37"/>
      <c r="K64" s="68"/>
      <c r="L64" s="24">
        <f>I64</f>
        <v>360000</v>
      </c>
      <c r="M64" s="69"/>
      <c r="N64" s="22" t="s">
        <v>155</v>
      </c>
      <c r="O64" s="70"/>
    </row>
    <row r="65" spans="1:15" ht="15" customHeight="1" x14ac:dyDescent="0.25">
      <c r="B65" s="63">
        <v>9</v>
      </c>
      <c r="C65" s="43" t="s">
        <v>243</v>
      </c>
      <c r="D65" s="71" t="s">
        <v>1333</v>
      </c>
      <c r="E65" s="71" t="s">
        <v>425</v>
      </c>
      <c r="F65" s="70" t="s">
        <v>271</v>
      </c>
      <c r="G65" s="66">
        <v>46191</v>
      </c>
      <c r="H65" s="72"/>
      <c r="I65" s="22">
        <v>328700</v>
      </c>
      <c r="J65" s="37">
        <f>I65</f>
        <v>328700</v>
      </c>
      <c r="K65" s="68"/>
      <c r="L65" s="24"/>
      <c r="M65" s="69"/>
      <c r="N65" s="22" t="s">
        <v>155</v>
      </c>
      <c r="O65" s="70"/>
    </row>
    <row r="66" spans="1:15" ht="15" customHeight="1" x14ac:dyDescent="0.25">
      <c r="B66" s="63">
        <v>10</v>
      </c>
      <c r="C66" s="43" t="s">
        <v>243</v>
      </c>
      <c r="D66" s="71" t="s">
        <v>1341</v>
      </c>
      <c r="E66" s="71" t="s">
        <v>987</v>
      </c>
      <c r="F66" s="70" t="s">
        <v>271</v>
      </c>
      <c r="G66" s="66">
        <v>46191</v>
      </c>
      <c r="H66" s="72"/>
      <c r="I66" s="22">
        <v>92000</v>
      </c>
      <c r="J66" s="37"/>
      <c r="K66" s="68"/>
      <c r="L66" s="159">
        <f>I66</f>
        <v>92000</v>
      </c>
      <c r="M66" s="69"/>
      <c r="N66" s="22" t="s">
        <v>155</v>
      </c>
      <c r="O66" s="70"/>
    </row>
    <row r="67" spans="1:15" ht="15" customHeight="1" x14ac:dyDescent="0.25">
      <c r="B67" s="63">
        <v>11</v>
      </c>
      <c r="C67" s="43" t="s">
        <v>243</v>
      </c>
      <c r="D67" s="71" t="s">
        <v>1342</v>
      </c>
      <c r="E67" s="71" t="s">
        <v>273</v>
      </c>
      <c r="F67" s="70" t="s">
        <v>271</v>
      </c>
      <c r="G67" s="66">
        <v>46191</v>
      </c>
      <c r="H67" s="72"/>
      <c r="I67" s="22">
        <v>645300</v>
      </c>
      <c r="J67" s="37">
        <v>153000</v>
      </c>
      <c r="K67" s="68"/>
      <c r="L67" s="69"/>
      <c r="M67" s="69"/>
      <c r="N67" s="22" t="s">
        <v>158</v>
      </c>
      <c r="O67" s="70"/>
    </row>
    <row r="68" spans="1:15" ht="15.75" x14ac:dyDescent="0.25">
      <c r="B68" s="169" t="s">
        <v>25</v>
      </c>
      <c r="C68" s="170"/>
      <c r="D68" s="170"/>
      <c r="E68" s="170"/>
      <c r="F68" s="170"/>
      <c r="G68" s="170"/>
      <c r="H68" s="170"/>
      <c r="I68" s="171"/>
      <c r="J68" s="25">
        <f>SUM(J57:J67)</f>
        <v>1772300</v>
      </c>
      <c r="K68" s="74">
        <f>SUM(K57:K67)</f>
        <v>0</v>
      </c>
      <c r="L68" s="60">
        <f>SUM(L57:L67)</f>
        <v>638400</v>
      </c>
      <c r="M68" s="60">
        <f>SUM(M57:M67)</f>
        <v>0</v>
      </c>
      <c r="N68" s="39"/>
      <c r="O68" s="75">
        <f>SUM(J68+K68+L68+M68)</f>
        <v>2410700</v>
      </c>
    </row>
    <row r="69" spans="1:15" ht="15.75" x14ac:dyDescent="0.25">
      <c r="B69" s="172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</row>
    <row r="70" spans="1:15" x14ac:dyDescent="0.25">
      <c r="B70" s="44">
        <v>1</v>
      </c>
      <c r="C70" s="12" t="s">
        <v>440</v>
      </c>
      <c r="D70" s="71" t="s">
        <v>1334</v>
      </c>
      <c r="E70" s="71" t="s">
        <v>427</v>
      </c>
      <c r="F70" s="70" t="s">
        <v>280</v>
      </c>
      <c r="G70" s="66">
        <v>46191</v>
      </c>
      <c r="H70" s="72"/>
      <c r="I70" s="22">
        <v>1063000</v>
      </c>
      <c r="J70" s="73">
        <f>I70</f>
        <v>1063000</v>
      </c>
      <c r="K70" s="68"/>
      <c r="L70" s="69"/>
      <c r="M70" s="69"/>
      <c r="N70" s="22" t="s">
        <v>155</v>
      </c>
      <c r="O70" s="70"/>
    </row>
    <row r="71" spans="1:15" x14ac:dyDescent="0.25">
      <c r="B71" s="44">
        <v>2</v>
      </c>
      <c r="C71" s="12" t="s">
        <v>440</v>
      </c>
      <c r="D71" s="71" t="s">
        <v>1335</v>
      </c>
      <c r="E71" s="71" t="s">
        <v>431</v>
      </c>
      <c r="F71" s="70" t="s">
        <v>1336</v>
      </c>
      <c r="G71" s="66">
        <v>46191</v>
      </c>
      <c r="H71" s="72"/>
      <c r="I71" s="22">
        <v>328700</v>
      </c>
      <c r="J71" s="73">
        <f>I71</f>
        <v>328700</v>
      </c>
      <c r="K71" s="68"/>
      <c r="L71" s="24"/>
      <c r="M71" s="24"/>
      <c r="N71" s="22" t="s">
        <v>155</v>
      </c>
      <c r="O71" s="70"/>
    </row>
    <row r="72" spans="1:15" x14ac:dyDescent="0.25">
      <c r="B72" s="44">
        <v>3</v>
      </c>
      <c r="C72" s="12" t="s">
        <v>440</v>
      </c>
      <c r="D72" s="71" t="s">
        <v>1337</v>
      </c>
      <c r="E72" s="71" t="s">
        <v>1338</v>
      </c>
      <c r="F72" s="70" t="s">
        <v>1339</v>
      </c>
      <c r="G72" s="66">
        <v>46191</v>
      </c>
      <c r="H72" s="72"/>
      <c r="I72" s="22">
        <v>93000</v>
      </c>
      <c r="J72" s="73"/>
      <c r="K72" s="68"/>
      <c r="L72" s="24">
        <f>I72</f>
        <v>93000</v>
      </c>
      <c r="M72" s="69"/>
      <c r="N72" s="22" t="s">
        <v>155</v>
      </c>
      <c r="O72" s="70"/>
    </row>
    <row r="73" spans="1:15" x14ac:dyDescent="0.25">
      <c r="B73" s="44">
        <v>4</v>
      </c>
      <c r="C73" s="12" t="s">
        <v>440</v>
      </c>
      <c r="D73" s="71" t="s">
        <v>1340</v>
      </c>
      <c r="E73" s="71" t="s">
        <v>429</v>
      </c>
      <c r="F73" s="70" t="s">
        <v>377</v>
      </c>
      <c r="G73" s="66">
        <v>46191</v>
      </c>
      <c r="H73" s="72"/>
      <c r="I73" s="22">
        <v>342780</v>
      </c>
      <c r="J73" s="73"/>
      <c r="K73" s="68"/>
      <c r="L73" s="24">
        <f>I73</f>
        <v>342780</v>
      </c>
      <c r="M73" s="69"/>
      <c r="N73" s="22" t="s">
        <v>155</v>
      </c>
      <c r="O73" s="70"/>
    </row>
    <row r="74" spans="1:15" ht="15.75" x14ac:dyDescent="0.25">
      <c r="A74" t="s">
        <v>3</v>
      </c>
      <c r="B74" s="169" t="s">
        <v>25</v>
      </c>
      <c r="C74" s="170"/>
      <c r="D74" s="170"/>
      <c r="E74" s="170"/>
      <c r="F74" s="170"/>
      <c r="G74" s="170"/>
      <c r="H74" s="170"/>
      <c r="I74" s="171"/>
      <c r="J74" s="76">
        <f>SUM(J70:J73)</f>
        <v>1391700</v>
      </c>
      <c r="K74" s="74">
        <f>SUM(K70:K73)</f>
        <v>0</v>
      </c>
      <c r="L74" s="60">
        <f>SUM(L70:L73)</f>
        <v>435780</v>
      </c>
      <c r="M74" s="60">
        <f>SUM(M70:M73)</f>
        <v>0</v>
      </c>
      <c r="N74" s="39"/>
      <c r="O74" s="75">
        <f>SUM(J74+K74+L74+M74)</f>
        <v>1827480</v>
      </c>
    </row>
    <row r="75" spans="1:15" x14ac:dyDescent="0.25">
      <c r="D75" s="57"/>
      <c r="I75" s="58"/>
      <c r="J75" s="58"/>
    </row>
    <row r="76" spans="1:15" ht="15.75" x14ac:dyDescent="0.25">
      <c r="D76" s="57"/>
      <c r="G76" s="162" t="s">
        <v>1646</v>
      </c>
      <c r="H76" s="162"/>
      <c r="I76" s="163"/>
      <c r="J76" s="25">
        <f>SUM(J74+J68)</f>
        <v>3164000</v>
      </c>
      <c r="K76" s="74">
        <f>SUM(K74+K68)</f>
        <v>0</v>
      </c>
      <c r="L76" s="60">
        <f>SUM(L74+L68)</f>
        <v>1074180</v>
      </c>
      <c r="M76" s="60">
        <f>SUM(M74+M68)</f>
        <v>0</v>
      </c>
      <c r="N76" s="39"/>
      <c r="O76" s="77">
        <f>SUM(J76+K76+L76+M76)</f>
        <v>4238180</v>
      </c>
    </row>
    <row r="77" spans="1:15" ht="15.75" x14ac:dyDescent="0.25">
      <c r="D77" s="57"/>
      <c r="H77" s="41"/>
      <c r="I77" s="41"/>
      <c r="J77" s="41"/>
      <c r="K77" s="78"/>
      <c r="L77" s="78"/>
      <c r="M77" s="78"/>
      <c r="N77" s="79"/>
      <c r="O77" s="80"/>
    </row>
    <row r="78" spans="1:15" ht="15.75" x14ac:dyDescent="0.25">
      <c r="D78" s="57"/>
      <c r="H78" s="174" t="s">
        <v>27</v>
      </c>
      <c r="I78" s="175"/>
      <c r="J78" s="180" t="s">
        <v>14</v>
      </c>
      <c r="K78" s="180"/>
      <c r="L78" s="181" t="s">
        <v>15</v>
      </c>
      <c r="M78" s="181"/>
      <c r="N78" s="70"/>
      <c r="O78" s="182"/>
    </row>
    <row r="79" spans="1:15" ht="15.75" x14ac:dyDescent="0.25">
      <c r="D79" s="57"/>
      <c r="H79" s="176"/>
      <c r="I79" s="177"/>
      <c r="J79" s="6" t="s">
        <v>17</v>
      </c>
      <c r="K79" s="81" t="s">
        <v>18</v>
      </c>
      <c r="L79" s="82" t="s">
        <v>17</v>
      </c>
      <c r="M79" s="82" t="s">
        <v>18</v>
      </c>
      <c r="N79" s="70"/>
      <c r="O79" s="182"/>
    </row>
    <row r="80" spans="1:15" ht="15.75" x14ac:dyDescent="0.25">
      <c r="D80" s="57"/>
      <c r="H80" s="178"/>
      <c r="I80" s="179"/>
      <c r="J80" s="74">
        <f>SUM(J51,J76)</f>
        <v>12762600</v>
      </c>
      <c r="K80" s="74">
        <f>SUM(K76+K51)</f>
        <v>0</v>
      </c>
      <c r="L80" s="60">
        <f>SUM(L76+L51)</f>
        <v>6920473</v>
      </c>
      <c r="M80" s="60">
        <f>SUM(M76+M51)</f>
        <v>0</v>
      </c>
      <c r="N80" s="39"/>
      <c r="O80" s="182"/>
    </row>
    <row r="81" spans="4:15" x14ac:dyDescent="0.25">
      <c r="D81" s="57"/>
      <c r="I81" s="58"/>
      <c r="J81" s="58"/>
    </row>
    <row r="82" spans="4:15" ht="18.75" x14ac:dyDescent="0.3">
      <c r="D82" s="57"/>
      <c r="H82" s="183"/>
      <c r="I82" s="183"/>
      <c r="J82" s="83"/>
      <c r="L82" s="184" t="s">
        <v>28</v>
      </c>
      <c r="M82" s="185"/>
      <c r="N82" s="84">
        <f>SUM(J80+L80)</f>
        <v>19683073</v>
      </c>
      <c r="O82" s="186">
        <f>SUM(N82+N83)</f>
        <v>19683073</v>
      </c>
    </row>
    <row r="83" spans="4:15" ht="18.75" x14ac:dyDescent="0.3">
      <c r="D83" s="57"/>
      <c r="H83" s="183"/>
      <c r="I83" s="183"/>
      <c r="J83" s="83"/>
      <c r="L83" s="184" t="s">
        <v>29</v>
      </c>
      <c r="M83" s="185"/>
      <c r="N83" s="84">
        <f>SUM(K80+M80)</f>
        <v>0</v>
      </c>
      <c r="O83" s="187"/>
    </row>
    <row r="84" spans="4:15" ht="18.75" x14ac:dyDescent="0.3">
      <c r="D84" s="57"/>
      <c r="H84" s="168"/>
      <c r="I84" s="168"/>
      <c r="J84" s="85"/>
      <c r="K84" s="86"/>
    </row>
    <row r="85" spans="4:15" x14ac:dyDescent="0.25">
      <c r="D85" s="2" t="s">
        <v>30</v>
      </c>
      <c r="E85" s="1"/>
      <c r="F85" s="1"/>
      <c r="G85" s="1"/>
      <c r="H85" s="1"/>
      <c r="I85" s="1"/>
      <c r="J85" s="1"/>
      <c r="K85" s="1"/>
    </row>
    <row r="86" spans="4:15" x14ac:dyDescent="0.25">
      <c r="D86" s="2"/>
      <c r="E86" s="1"/>
      <c r="F86" s="1"/>
      <c r="G86" s="1"/>
      <c r="H86" s="1"/>
      <c r="I86" s="1"/>
      <c r="J86" s="1"/>
      <c r="K86" s="1"/>
    </row>
    <row r="87" spans="4:15" x14ac:dyDescent="0.25">
      <c r="D87" s="3" t="s">
        <v>31</v>
      </c>
      <c r="E87" s="3"/>
      <c r="F87" s="3" t="s">
        <v>32</v>
      </c>
      <c r="G87" s="3"/>
      <c r="H87" s="3" t="s">
        <v>33</v>
      </c>
      <c r="I87" s="3"/>
      <c r="J87" s="3" t="s">
        <v>34</v>
      </c>
      <c r="K87" s="3"/>
    </row>
    <row r="88" spans="4:15" x14ac:dyDescent="0.25">
      <c r="D88" s="3"/>
      <c r="E88" s="3"/>
      <c r="F88" s="3"/>
      <c r="G88" s="3"/>
      <c r="H88" s="3"/>
      <c r="I88" s="3"/>
      <c r="J88" s="3"/>
      <c r="K88" s="3"/>
    </row>
    <row r="89" spans="4:15" x14ac:dyDescent="0.25">
      <c r="D89" s="3"/>
      <c r="E89" s="3"/>
      <c r="F89" s="3"/>
      <c r="G89" s="3"/>
      <c r="H89" s="3"/>
      <c r="I89" s="3"/>
      <c r="J89" s="3"/>
      <c r="K89" s="3"/>
    </row>
    <row r="90" spans="4:15" x14ac:dyDescent="0.25">
      <c r="D90" s="3"/>
      <c r="E90" s="3"/>
      <c r="F90" s="3"/>
      <c r="G90" s="3"/>
      <c r="H90" s="3"/>
      <c r="I90" s="3"/>
      <c r="J90" s="3"/>
      <c r="K90" s="3"/>
    </row>
    <row r="91" spans="4:15" x14ac:dyDescent="0.25">
      <c r="D91" s="3" t="s">
        <v>35</v>
      </c>
      <c r="E91" s="3"/>
      <c r="F91" s="3" t="s">
        <v>36</v>
      </c>
      <c r="G91" s="3"/>
      <c r="H91" s="3" t="s">
        <v>36</v>
      </c>
      <c r="I91" s="3"/>
      <c r="J91" s="3" t="s">
        <v>37</v>
      </c>
      <c r="K91" s="3"/>
    </row>
    <row r="92" spans="4:15" x14ac:dyDescent="0.25">
      <c r="D92" s="57"/>
    </row>
    <row r="93" spans="4:15" x14ac:dyDescent="0.25">
      <c r="D93" s="57"/>
    </row>
    <row r="94" spans="4:15" x14ac:dyDescent="0.25">
      <c r="D94" s="57"/>
    </row>
    <row r="95" spans="4:15" x14ac:dyDescent="0.25">
      <c r="D95" s="57"/>
    </row>
    <row r="96" spans="4:15" x14ac:dyDescent="0.25">
      <c r="D96" s="57"/>
    </row>
  </sheetData>
  <mergeCells count="48">
    <mergeCell ref="B16:I1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54:G55"/>
    <mergeCell ref="B17:O17"/>
    <mergeCell ref="B35:I35"/>
    <mergeCell ref="B36:O36"/>
    <mergeCell ref="B48:I48"/>
    <mergeCell ref="G51:I51"/>
    <mergeCell ref="B53:D53"/>
    <mergeCell ref="B54:B55"/>
    <mergeCell ref="C54:C55"/>
    <mergeCell ref="D54:D55"/>
    <mergeCell ref="E54:E55"/>
    <mergeCell ref="F54:F55"/>
    <mergeCell ref="H54:H55"/>
    <mergeCell ref="I54:I55"/>
    <mergeCell ref="J54:N54"/>
    <mergeCell ref="O54:O55"/>
    <mergeCell ref="G76:I76"/>
    <mergeCell ref="J55:K55"/>
    <mergeCell ref="L55:M55"/>
    <mergeCell ref="H84:I84"/>
    <mergeCell ref="B68:I68"/>
    <mergeCell ref="B69:O69"/>
    <mergeCell ref="B74:I74"/>
    <mergeCell ref="H78:I80"/>
    <mergeCell ref="J78:K78"/>
    <mergeCell ref="L78:M78"/>
    <mergeCell ref="O78:O80"/>
    <mergeCell ref="H82:I82"/>
    <mergeCell ref="L82:M82"/>
    <mergeCell ref="O82:O83"/>
    <mergeCell ref="H83:I83"/>
    <mergeCell ref="L83:M83"/>
  </mergeCells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FC560-E020-4B49-B0F6-F0D3A5C0ED65}">
  <dimension ref="A2:Q94"/>
  <sheetViews>
    <sheetView topLeftCell="E1" workbookViewId="0">
      <selection activeCell="N74" sqref="N74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1343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1344</v>
      </c>
      <c r="E9" s="14" t="s">
        <v>1345</v>
      </c>
      <c r="F9" s="15" t="s">
        <v>922</v>
      </c>
      <c r="G9" s="16">
        <v>46151</v>
      </c>
      <c r="H9" s="16">
        <v>46164</v>
      </c>
      <c r="I9" s="23">
        <v>215100</v>
      </c>
      <c r="J9" s="18">
        <f t="shared" ref="J9:J18" si="0">I9</f>
        <v>215100</v>
      </c>
      <c r="K9" s="19"/>
      <c r="L9" s="24"/>
      <c r="M9" s="24"/>
      <c r="N9" s="22" t="s">
        <v>155</v>
      </c>
      <c r="O9" s="22"/>
    </row>
    <row r="10" spans="2:17" x14ac:dyDescent="0.25">
      <c r="B10" s="11">
        <v>2</v>
      </c>
      <c r="C10" s="12"/>
      <c r="D10" s="13" t="s">
        <v>1346</v>
      </c>
      <c r="E10" s="14" t="s">
        <v>1347</v>
      </c>
      <c r="F10" s="15" t="s">
        <v>250</v>
      </c>
      <c r="G10" s="16">
        <v>46163</v>
      </c>
      <c r="H10" s="16">
        <v>46176</v>
      </c>
      <c r="I10" s="23">
        <v>430200</v>
      </c>
      <c r="J10" s="18">
        <v>294000</v>
      </c>
      <c r="K10" s="19"/>
      <c r="L10" s="24"/>
      <c r="M10" s="24"/>
      <c r="N10" s="22" t="s">
        <v>158</v>
      </c>
      <c r="O10" s="22"/>
    </row>
    <row r="11" spans="2:17" x14ac:dyDescent="0.25">
      <c r="B11" s="11">
        <v>3</v>
      </c>
      <c r="C11" s="12"/>
      <c r="D11" s="13" t="s">
        <v>1348</v>
      </c>
      <c r="E11" s="14" t="s">
        <v>1349</v>
      </c>
      <c r="F11" s="15" t="s">
        <v>41</v>
      </c>
      <c r="G11" s="16">
        <v>46164</v>
      </c>
      <c r="H11" s="16">
        <v>46177</v>
      </c>
      <c r="I11" s="23">
        <v>1075500</v>
      </c>
      <c r="J11" s="18">
        <f t="shared" si="0"/>
        <v>1075500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1285</v>
      </c>
      <c r="E12" s="14" t="s">
        <v>536</v>
      </c>
      <c r="F12" s="15" t="s">
        <v>336</v>
      </c>
      <c r="G12" s="16">
        <v>46164</v>
      </c>
      <c r="H12" s="16">
        <v>46177</v>
      </c>
      <c r="I12" s="23">
        <v>15100</v>
      </c>
      <c r="J12" s="18">
        <f t="shared" si="0"/>
        <v>15100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1288</v>
      </c>
      <c r="E13" s="14" t="s">
        <v>332</v>
      </c>
      <c r="F13" s="15" t="s">
        <v>333</v>
      </c>
      <c r="G13" s="16">
        <v>46178</v>
      </c>
      <c r="H13" s="16">
        <v>46191</v>
      </c>
      <c r="I13" s="23">
        <v>277000</v>
      </c>
      <c r="J13" s="18">
        <f t="shared" si="0"/>
        <v>277000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1350</v>
      </c>
      <c r="E14" s="14" t="s">
        <v>1349</v>
      </c>
      <c r="F14" s="15" t="s">
        <v>1351</v>
      </c>
      <c r="G14" s="16">
        <v>46178</v>
      </c>
      <c r="H14" s="16">
        <v>46191</v>
      </c>
      <c r="I14" s="23">
        <v>1075500</v>
      </c>
      <c r="J14" s="18">
        <f t="shared" si="0"/>
        <v>1075500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532</v>
      </c>
      <c r="E15" s="14" t="s">
        <v>461</v>
      </c>
      <c r="F15" s="15" t="s">
        <v>1352</v>
      </c>
      <c r="G15" s="16">
        <v>46178</v>
      </c>
      <c r="H15" s="16">
        <v>46191</v>
      </c>
      <c r="I15" s="23">
        <v>113600</v>
      </c>
      <c r="J15" s="18">
        <f t="shared" si="0"/>
        <v>113600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1353</v>
      </c>
      <c r="E16" s="14" t="s">
        <v>464</v>
      </c>
      <c r="F16" s="15" t="s">
        <v>329</v>
      </c>
      <c r="G16" s="16">
        <v>46179</v>
      </c>
      <c r="H16" s="16">
        <v>46192</v>
      </c>
      <c r="I16" s="23">
        <v>543800</v>
      </c>
      <c r="J16" s="18">
        <f t="shared" si="0"/>
        <v>543800</v>
      </c>
      <c r="K16" s="19"/>
      <c r="L16" s="24"/>
      <c r="M16" s="24"/>
      <c r="N16" s="22" t="s">
        <v>155</v>
      </c>
      <c r="O16" s="22"/>
    </row>
    <row r="17" spans="2:16" x14ac:dyDescent="0.25">
      <c r="B17" s="11">
        <v>9</v>
      </c>
      <c r="C17" s="12"/>
      <c r="D17" s="13" t="s">
        <v>1354</v>
      </c>
      <c r="E17" s="14" t="s">
        <v>452</v>
      </c>
      <c r="F17" s="15" t="s">
        <v>453</v>
      </c>
      <c r="G17" s="16">
        <v>46179</v>
      </c>
      <c r="H17" s="16">
        <v>46192</v>
      </c>
      <c r="I17" s="23">
        <v>430200</v>
      </c>
      <c r="J17" s="18">
        <f t="shared" si="0"/>
        <v>430200</v>
      </c>
      <c r="K17" s="19"/>
      <c r="L17" s="24"/>
      <c r="M17" s="24"/>
      <c r="N17" s="22" t="s">
        <v>155</v>
      </c>
      <c r="O17" s="22"/>
    </row>
    <row r="18" spans="2:16" x14ac:dyDescent="0.25">
      <c r="B18" s="11">
        <v>10</v>
      </c>
      <c r="C18" s="12"/>
      <c r="D18" s="13" t="s">
        <v>1355</v>
      </c>
      <c r="E18" s="14" t="s">
        <v>458</v>
      </c>
      <c r="F18" s="15" t="s">
        <v>459</v>
      </c>
      <c r="G18" s="16">
        <v>46179</v>
      </c>
      <c r="H18" s="16">
        <v>46192</v>
      </c>
      <c r="I18" s="23">
        <v>113600</v>
      </c>
      <c r="J18" s="18">
        <f t="shared" si="0"/>
        <v>113600</v>
      </c>
      <c r="K18" s="19"/>
      <c r="L18" s="24"/>
      <c r="M18" s="24"/>
      <c r="N18" s="22" t="s">
        <v>155</v>
      </c>
      <c r="O18" s="22"/>
    </row>
    <row r="19" spans="2:16" x14ac:dyDescent="0.25">
      <c r="B19" s="11">
        <v>11</v>
      </c>
      <c r="C19" s="12"/>
      <c r="D19" s="13" t="s">
        <v>1356</v>
      </c>
      <c r="E19" s="14" t="s">
        <v>1357</v>
      </c>
      <c r="F19" s="15" t="s">
        <v>135</v>
      </c>
      <c r="G19" s="16">
        <v>46179</v>
      </c>
      <c r="H19" s="16">
        <v>46192</v>
      </c>
      <c r="I19" s="23">
        <v>1643500</v>
      </c>
      <c r="J19" s="18">
        <f>I19</f>
        <v>1643500</v>
      </c>
      <c r="K19" s="19"/>
      <c r="L19" s="24"/>
      <c r="M19" s="24"/>
      <c r="N19" s="22" t="s">
        <v>155</v>
      </c>
      <c r="O19" s="22"/>
    </row>
    <row r="20" spans="2:16" x14ac:dyDescent="0.25">
      <c r="B20" s="11">
        <v>12</v>
      </c>
      <c r="C20" s="12"/>
      <c r="D20" s="13" t="s">
        <v>1358</v>
      </c>
      <c r="E20" s="14" t="s">
        <v>536</v>
      </c>
      <c r="F20" s="15" t="s">
        <v>336</v>
      </c>
      <c r="G20" s="16">
        <v>46164</v>
      </c>
      <c r="H20" s="16">
        <v>46177</v>
      </c>
      <c r="I20" s="23">
        <v>130500</v>
      </c>
      <c r="J20" s="18"/>
      <c r="K20" s="19"/>
      <c r="L20" s="24">
        <f t="shared" ref="L20:L21" si="1">I20</f>
        <v>130500</v>
      </c>
      <c r="M20" s="24"/>
      <c r="N20" s="22" t="s">
        <v>155</v>
      </c>
      <c r="O20" s="22"/>
    </row>
    <row r="21" spans="2:16" x14ac:dyDescent="0.25">
      <c r="B21" s="11">
        <v>13</v>
      </c>
      <c r="C21" s="12"/>
      <c r="D21" s="13" t="s">
        <v>1359</v>
      </c>
      <c r="E21" s="14" t="s">
        <v>332</v>
      </c>
      <c r="F21" s="15" t="s">
        <v>333</v>
      </c>
      <c r="G21" s="16">
        <v>46178</v>
      </c>
      <c r="H21" s="16">
        <v>46191</v>
      </c>
      <c r="I21" s="23">
        <v>723000</v>
      </c>
      <c r="J21" s="18"/>
      <c r="K21" s="19"/>
      <c r="L21" s="24">
        <f t="shared" si="1"/>
        <v>723000</v>
      </c>
      <c r="M21" s="24"/>
      <c r="N21" s="22" t="s">
        <v>155</v>
      </c>
      <c r="O21" s="22"/>
    </row>
    <row r="22" spans="2:16" x14ac:dyDescent="0.25">
      <c r="B22" s="11">
        <v>14</v>
      </c>
      <c r="C22" s="12"/>
      <c r="D22" s="13" t="s">
        <v>1360</v>
      </c>
      <c r="E22" s="14" t="s">
        <v>461</v>
      </c>
      <c r="F22" s="15" t="s">
        <v>1352</v>
      </c>
      <c r="G22" s="16">
        <v>46178</v>
      </c>
      <c r="H22" s="16">
        <v>46191</v>
      </c>
      <c r="I22" s="23">
        <v>558200</v>
      </c>
      <c r="J22" s="18"/>
      <c r="K22" s="19"/>
      <c r="L22" s="24">
        <f>I22</f>
        <v>558200</v>
      </c>
      <c r="M22" s="24"/>
      <c r="N22" s="22" t="s">
        <v>155</v>
      </c>
      <c r="O22" s="22"/>
    </row>
    <row r="23" spans="2:16" ht="15.75" x14ac:dyDescent="0.25">
      <c r="B23" s="169" t="s">
        <v>13</v>
      </c>
      <c r="C23" s="170"/>
      <c r="D23" s="170"/>
      <c r="E23" s="170"/>
      <c r="F23" s="170"/>
      <c r="G23" s="170"/>
      <c r="H23" s="170"/>
      <c r="I23" s="171"/>
      <c r="J23" s="25">
        <f>SUM(J9:J22)</f>
        <v>5796900</v>
      </c>
      <c r="K23" s="26">
        <f>SUM(K9:K22)</f>
        <v>0</v>
      </c>
      <c r="L23" s="27">
        <f>SUM(L9:L22)</f>
        <v>1411700</v>
      </c>
      <c r="M23" s="28">
        <f>SUM(M9:M22)</f>
        <v>0</v>
      </c>
      <c r="N23" s="29"/>
      <c r="O23" s="30">
        <f>SUM(J23+K23+L23+M23)</f>
        <v>7208600</v>
      </c>
    </row>
    <row r="24" spans="2:16" ht="15.75" x14ac:dyDescent="0.25">
      <c r="B24" s="190"/>
      <c r="C24" s="191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</row>
    <row r="25" spans="2:16" x14ac:dyDescent="0.25">
      <c r="B25" s="11">
        <v>1</v>
      </c>
      <c r="C25" s="31" t="s">
        <v>20</v>
      </c>
      <c r="D25" s="13" t="s">
        <v>1246</v>
      </c>
      <c r="E25" s="32" t="s">
        <v>1136</v>
      </c>
      <c r="F25" s="33" t="s">
        <v>268</v>
      </c>
      <c r="G25" s="34">
        <v>46161</v>
      </c>
      <c r="H25" s="35">
        <v>46174</v>
      </c>
      <c r="I25" s="36">
        <v>1017800</v>
      </c>
      <c r="J25" s="37">
        <f t="shared" ref="J25:J29" si="2">I25</f>
        <v>1017800</v>
      </c>
      <c r="K25" s="19"/>
      <c r="L25" s="24"/>
      <c r="M25" s="24"/>
      <c r="N25" s="22" t="s">
        <v>155</v>
      </c>
      <c r="O25" s="22"/>
    </row>
    <row r="26" spans="2:16" x14ac:dyDescent="0.25">
      <c r="B26" s="11">
        <v>2</v>
      </c>
      <c r="C26" s="31"/>
      <c r="D26" s="13" t="s">
        <v>1361</v>
      </c>
      <c r="E26" s="32" t="s">
        <v>1362</v>
      </c>
      <c r="F26" s="33" t="s">
        <v>354</v>
      </c>
      <c r="G26" s="34">
        <v>46164</v>
      </c>
      <c r="H26" s="35">
        <v>46177</v>
      </c>
      <c r="I26" s="36">
        <v>645300</v>
      </c>
      <c r="J26" s="37">
        <f t="shared" si="2"/>
        <v>645300</v>
      </c>
      <c r="K26" s="19"/>
      <c r="L26" s="24"/>
      <c r="M26" s="24"/>
      <c r="N26" s="22" t="s">
        <v>155</v>
      </c>
      <c r="O26" s="22"/>
    </row>
    <row r="27" spans="2:16" x14ac:dyDescent="0.25">
      <c r="B27" s="11">
        <v>3</v>
      </c>
      <c r="C27" s="31"/>
      <c r="D27" s="13" t="s">
        <v>487</v>
      </c>
      <c r="E27" s="32" t="s">
        <v>488</v>
      </c>
      <c r="F27" s="33" t="s">
        <v>489</v>
      </c>
      <c r="G27" s="34">
        <v>46165</v>
      </c>
      <c r="H27" s="35">
        <v>46178</v>
      </c>
      <c r="I27" s="36">
        <v>115100</v>
      </c>
      <c r="J27" s="37">
        <f t="shared" si="2"/>
        <v>115100</v>
      </c>
      <c r="K27" s="19"/>
      <c r="L27" s="24"/>
      <c r="M27" s="24"/>
      <c r="N27" s="22" t="s">
        <v>155</v>
      </c>
      <c r="O27" s="22"/>
    </row>
    <row r="28" spans="2:16" x14ac:dyDescent="0.25">
      <c r="B28" s="11">
        <v>4</v>
      </c>
      <c r="C28" s="31"/>
      <c r="D28" s="13" t="s">
        <v>1363</v>
      </c>
      <c r="E28" s="32" t="s">
        <v>103</v>
      </c>
      <c r="F28" s="33" t="s">
        <v>353</v>
      </c>
      <c r="G28" s="34">
        <v>46178</v>
      </c>
      <c r="H28" s="35">
        <v>46191</v>
      </c>
      <c r="I28" s="36">
        <v>430200</v>
      </c>
      <c r="J28" s="37">
        <f t="shared" si="2"/>
        <v>430200</v>
      </c>
      <c r="K28" s="19"/>
      <c r="L28" s="24"/>
      <c r="M28" s="24"/>
      <c r="N28" s="22" t="s">
        <v>155</v>
      </c>
      <c r="O28" s="22"/>
    </row>
    <row r="29" spans="2:16" x14ac:dyDescent="0.25">
      <c r="B29" s="11">
        <v>5</v>
      </c>
      <c r="C29" s="31"/>
      <c r="D29" s="13" t="s">
        <v>1364</v>
      </c>
      <c r="E29" s="32" t="s">
        <v>498</v>
      </c>
      <c r="F29" s="33" t="s">
        <v>268</v>
      </c>
      <c r="G29" s="34">
        <v>46179</v>
      </c>
      <c r="H29" s="35">
        <v>46192</v>
      </c>
      <c r="I29" s="36">
        <v>215100</v>
      </c>
      <c r="J29" s="37">
        <f t="shared" si="2"/>
        <v>215100</v>
      </c>
      <c r="K29" s="19"/>
      <c r="L29" s="24"/>
      <c r="M29" s="24"/>
      <c r="N29" s="22" t="s">
        <v>155</v>
      </c>
      <c r="O29" s="22"/>
    </row>
    <row r="30" spans="2:16" x14ac:dyDescent="0.25">
      <c r="B30" s="11">
        <v>6</v>
      </c>
      <c r="C30" s="31"/>
      <c r="D30" s="13" t="s">
        <v>1365</v>
      </c>
      <c r="E30" s="32" t="s">
        <v>483</v>
      </c>
      <c r="F30" s="33" t="s">
        <v>268</v>
      </c>
      <c r="G30" s="34">
        <v>46179</v>
      </c>
      <c r="H30" s="35">
        <v>46192</v>
      </c>
      <c r="I30" s="36">
        <v>215100</v>
      </c>
      <c r="J30" s="37">
        <f>I30</f>
        <v>215100</v>
      </c>
      <c r="K30" s="19"/>
      <c r="L30" s="24"/>
      <c r="M30" s="24"/>
      <c r="N30" s="22" t="s">
        <v>155</v>
      </c>
      <c r="O30" s="22"/>
    </row>
    <row r="31" spans="2:16" x14ac:dyDescent="0.25">
      <c r="B31" s="11">
        <v>7</v>
      </c>
      <c r="C31" s="31"/>
      <c r="D31" s="13" t="s">
        <v>1133</v>
      </c>
      <c r="E31" s="32" t="s">
        <v>1362</v>
      </c>
      <c r="F31" s="33" t="s">
        <v>354</v>
      </c>
      <c r="G31" s="34">
        <v>46164</v>
      </c>
      <c r="H31" s="35">
        <v>46177</v>
      </c>
      <c r="I31" s="36">
        <v>256082</v>
      </c>
      <c r="J31" s="37"/>
      <c r="K31" s="19"/>
      <c r="L31" s="24">
        <f t="shared" ref="L31:L34" si="3">I31</f>
        <v>256082</v>
      </c>
      <c r="M31" s="24"/>
      <c r="N31" s="22" t="s">
        <v>155</v>
      </c>
      <c r="O31" s="22"/>
      <c r="P31" t="s">
        <v>1283</v>
      </c>
    </row>
    <row r="32" spans="2:16" x14ac:dyDescent="0.25">
      <c r="B32" s="11">
        <v>8</v>
      </c>
      <c r="C32" s="31"/>
      <c r="D32" s="13" t="s">
        <v>1366</v>
      </c>
      <c r="E32" s="32" t="s">
        <v>360</v>
      </c>
      <c r="F32" s="33" t="s">
        <v>268</v>
      </c>
      <c r="G32" s="34">
        <v>46178</v>
      </c>
      <c r="H32" s="35">
        <v>46191</v>
      </c>
      <c r="I32" s="36">
        <v>225280</v>
      </c>
      <c r="J32" s="37"/>
      <c r="K32" s="19"/>
      <c r="L32" s="24">
        <f t="shared" si="3"/>
        <v>225280</v>
      </c>
      <c r="M32" s="24"/>
      <c r="N32" s="22" t="s">
        <v>155</v>
      </c>
      <c r="O32" s="22"/>
    </row>
    <row r="33" spans="2:15" x14ac:dyDescent="0.25">
      <c r="B33" s="11">
        <v>9</v>
      </c>
      <c r="C33" s="31"/>
      <c r="D33" s="13" t="s">
        <v>1367</v>
      </c>
      <c r="E33" s="32" t="s">
        <v>483</v>
      </c>
      <c r="F33" s="33" t="s">
        <v>268</v>
      </c>
      <c r="G33" s="34">
        <v>46179</v>
      </c>
      <c r="H33" s="35">
        <v>46192</v>
      </c>
      <c r="I33" s="36">
        <v>34278</v>
      </c>
      <c r="J33" s="37"/>
      <c r="K33" s="19"/>
      <c r="L33" s="24">
        <f t="shared" si="3"/>
        <v>34278</v>
      </c>
      <c r="M33" s="24"/>
      <c r="N33" s="22" t="s">
        <v>155</v>
      </c>
      <c r="O33" s="22"/>
    </row>
    <row r="34" spans="2:15" x14ac:dyDescent="0.25">
      <c r="B34" s="11">
        <v>10</v>
      </c>
      <c r="C34" s="31"/>
      <c r="D34" s="13" t="s">
        <v>1368</v>
      </c>
      <c r="E34" s="32" t="s">
        <v>503</v>
      </c>
      <c r="F34" s="33" t="s">
        <v>90</v>
      </c>
      <c r="G34" s="34">
        <v>46179</v>
      </c>
      <c r="H34" s="35">
        <v>46192</v>
      </c>
      <c r="I34" s="36">
        <v>261000</v>
      </c>
      <c r="J34" s="37"/>
      <c r="K34" s="19"/>
      <c r="L34" s="24">
        <f t="shared" si="3"/>
        <v>261000</v>
      </c>
      <c r="M34" s="24"/>
      <c r="N34" s="22" t="s">
        <v>155</v>
      </c>
      <c r="O34" s="22"/>
    </row>
    <row r="35" spans="2:15" x14ac:dyDescent="0.25">
      <c r="B35" s="11">
        <v>11</v>
      </c>
      <c r="C35" s="31"/>
      <c r="D35" s="13" t="s">
        <v>1369</v>
      </c>
      <c r="E35" s="32" t="s">
        <v>498</v>
      </c>
      <c r="F35" s="33" t="s">
        <v>268</v>
      </c>
      <c r="G35" s="34">
        <v>46179</v>
      </c>
      <c r="H35" s="35">
        <v>46192</v>
      </c>
      <c r="I35" s="36">
        <v>80000</v>
      </c>
      <c r="J35" s="37"/>
      <c r="K35" s="19"/>
      <c r="L35" s="24">
        <v>56000</v>
      </c>
      <c r="M35" s="24"/>
      <c r="N35" s="22" t="s">
        <v>1398</v>
      </c>
      <c r="O35" s="22"/>
    </row>
    <row r="36" spans="2:15" x14ac:dyDescent="0.25">
      <c r="B36" s="11">
        <v>12</v>
      </c>
      <c r="C36" s="31"/>
      <c r="D36" s="13" t="s">
        <v>1370</v>
      </c>
      <c r="E36" s="32" t="s">
        <v>594</v>
      </c>
      <c r="F36" s="33" t="s">
        <v>187</v>
      </c>
      <c r="G36" s="34">
        <v>46179</v>
      </c>
      <c r="H36" s="35">
        <v>46192</v>
      </c>
      <c r="I36" s="36">
        <v>1656000</v>
      </c>
      <c r="J36" s="37"/>
      <c r="K36" s="19"/>
      <c r="L36" s="24">
        <f>I36</f>
        <v>1656000</v>
      </c>
      <c r="M36" s="24"/>
      <c r="N36" s="22" t="s">
        <v>155</v>
      </c>
      <c r="O36" s="22"/>
    </row>
    <row r="37" spans="2:15" ht="15.75" x14ac:dyDescent="0.25">
      <c r="B37" s="192" t="s">
        <v>13</v>
      </c>
      <c r="C37" s="193"/>
      <c r="D37" s="193"/>
      <c r="E37" s="193"/>
      <c r="F37" s="193"/>
      <c r="G37" s="193"/>
      <c r="H37" s="193"/>
      <c r="I37" s="194"/>
      <c r="J37" s="38">
        <f>SUM(J25:J36)</f>
        <v>2638600</v>
      </c>
      <c r="K37" s="26">
        <f>SUM(K25:K36)</f>
        <v>0</v>
      </c>
      <c r="L37" s="27">
        <f>SUM(L25:L36)</f>
        <v>2488640</v>
      </c>
      <c r="M37" s="27">
        <f>SUM(M25:M36)</f>
        <v>0</v>
      </c>
      <c r="N37" s="39"/>
      <c r="O37" s="40">
        <f>SUM(J37+K37+L37+M37)</f>
        <v>5127240</v>
      </c>
    </row>
    <row r="38" spans="2:15" ht="15.75" x14ac:dyDescent="0.25">
      <c r="B38" s="195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</row>
    <row r="39" spans="2:15" ht="15.75" x14ac:dyDescent="0.25">
      <c r="B39" s="42">
        <v>1</v>
      </c>
      <c r="C39" s="43" t="s">
        <v>21</v>
      </c>
      <c r="D39" s="44" t="s">
        <v>1309</v>
      </c>
      <c r="E39" s="45" t="s">
        <v>397</v>
      </c>
      <c r="F39" s="45" t="s">
        <v>398</v>
      </c>
      <c r="G39" s="46">
        <v>46178</v>
      </c>
      <c r="H39" s="46">
        <v>46191</v>
      </c>
      <c r="I39" s="47">
        <v>128700</v>
      </c>
      <c r="J39" s="48">
        <f t="shared" ref="J39:J45" si="4">I39</f>
        <v>128700</v>
      </c>
      <c r="K39" s="49"/>
      <c r="L39" s="50"/>
      <c r="M39" s="50"/>
      <c r="N39" s="22" t="s">
        <v>155</v>
      </c>
      <c r="O39" s="42"/>
    </row>
    <row r="40" spans="2:15" ht="15.75" x14ac:dyDescent="0.25">
      <c r="B40" s="42">
        <v>2</v>
      </c>
      <c r="C40" s="43"/>
      <c r="D40" s="44" t="s">
        <v>1310</v>
      </c>
      <c r="E40" s="45" t="s">
        <v>402</v>
      </c>
      <c r="F40" s="45" t="s">
        <v>403</v>
      </c>
      <c r="G40" s="46">
        <v>46178</v>
      </c>
      <c r="H40" s="46">
        <v>46191</v>
      </c>
      <c r="I40" s="47">
        <v>128700</v>
      </c>
      <c r="J40" s="48">
        <f t="shared" si="4"/>
        <v>128700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3</v>
      </c>
      <c r="C41" s="43"/>
      <c r="D41" s="44" t="s">
        <v>1371</v>
      </c>
      <c r="E41" s="45" t="s">
        <v>506</v>
      </c>
      <c r="F41" s="45" t="s">
        <v>504</v>
      </c>
      <c r="G41" s="46">
        <v>46179</v>
      </c>
      <c r="H41" s="46">
        <v>46192</v>
      </c>
      <c r="I41" s="47">
        <v>215100</v>
      </c>
      <c r="J41" s="48">
        <v>100000</v>
      </c>
      <c r="K41" s="49"/>
      <c r="L41" s="50"/>
      <c r="M41" s="50"/>
      <c r="N41" s="22" t="s">
        <v>158</v>
      </c>
      <c r="O41" s="42"/>
    </row>
    <row r="42" spans="2:15" ht="15.75" x14ac:dyDescent="0.25">
      <c r="B42" s="42">
        <v>4</v>
      </c>
      <c r="C42" s="43"/>
      <c r="D42" s="44" t="s">
        <v>1372</v>
      </c>
      <c r="E42" s="45" t="s">
        <v>510</v>
      </c>
      <c r="F42" s="45" t="s">
        <v>504</v>
      </c>
      <c r="G42" s="46">
        <v>46179</v>
      </c>
      <c r="H42" s="46">
        <v>46192</v>
      </c>
      <c r="I42" s="47">
        <v>227200</v>
      </c>
      <c r="J42" s="48">
        <f t="shared" si="4"/>
        <v>227200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5</v>
      </c>
      <c r="C43" s="43"/>
      <c r="D43" s="44" t="s">
        <v>1373</v>
      </c>
      <c r="E43" s="45" t="s">
        <v>603</v>
      </c>
      <c r="F43" s="45" t="s">
        <v>504</v>
      </c>
      <c r="G43" s="46">
        <v>46179</v>
      </c>
      <c r="H43" s="46">
        <v>46192</v>
      </c>
      <c r="I43" s="47">
        <v>645300</v>
      </c>
      <c r="J43" s="48">
        <f t="shared" si="4"/>
        <v>645300</v>
      </c>
      <c r="K43" s="49"/>
      <c r="L43" s="50"/>
      <c r="M43" s="50"/>
      <c r="N43" s="22" t="s">
        <v>155</v>
      </c>
      <c r="O43" s="42"/>
    </row>
    <row r="44" spans="2:15" ht="15.75" x14ac:dyDescent="0.25">
      <c r="B44" s="42">
        <v>6</v>
      </c>
      <c r="C44" s="43"/>
      <c r="D44" s="44" t="s">
        <v>1374</v>
      </c>
      <c r="E44" s="45" t="s">
        <v>512</v>
      </c>
      <c r="F44" s="45" t="s">
        <v>504</v>
      </c>
      <c r="G44" s="46">
        <v>46179</v>
      </c>
      <c r="H44" s="46">
        <v>46192</v>
      </c>
      <c r="I44" s="47">
        <v>645300</v>
      </c>
      <c r="J44" s="48">
        <f t="shared" si="4"/>
        <v>645300</v>
      </c>
      <c r="K44" s="49"/>
      <c r="L44" s="50"/>
      <c r="M44" s="50"/>
      <c r="N44" s="22" t="s">
        <v>155</v>
      </c>
      <c r="O44" s="42"/>
    </row>
    <row r="45" spans="2:15" ht="15.75" x14ac:dyDescent="0.25">
      <c r="B45" s="42">
        <v>7</v>
      </c>
      <c r="C45" s="43"/>
      <c r="D45" s="44" t="s">
        <v>1375</v>
      </c>
      <c r="E45" s="45" t="s">
        <v>514</v>
      </c>
      <c r="F45" s="45" t="s">
        <v>515</v>
      </c>
      <c r="G45" s="46">
        <v>46179</v>
      </c>
      <c r="H45" s="46">
        <v>46192</v>
      </c>
      <c r="I45" s="47">
        <v>430200</v>
      </c>
      <c r="J45" s="48">
        <f t="shared" si="4"/>
        <v>430200</v>
      </c>
      <c r="K45" s="49"/>
      <c r="L45" s="51"/>
      <c r="M45" s="51"/>
      <c r="N45" s="22" t="s">
        <v>155</v>
      </c>
      <c r="O45" s="42"/>
    </row>
    <row r="46" spans="2:15" ht="15.75" x14ac:dyDescent="0.25">
      <c r="B46" s="42">
        <v>8</v>
      </c>
      <c r="C46" s="43"/>
      <c r="D46" s="44" t="s">
        <v>1376</v>
      </c>
      <c r="E46" s="45" t="s">
        <v>1377</v>
      </c>
      <c r="F46" s="45" t="s">
        <v>504</v>
      </c>
      <c r="G46" s="46">
        <v>46165</v>
      </c>
      <c r="H46" s="46">
        <v>46178</v>
      </c>
      <c r="I46" s="47">
        <v>215100</v>
      </c>
      <c r="J46" s="48">
        <f>I46</f>
        <v>215100</v>
      </c>
      <c r="K46" s="49"/>
      <c r="L46" s="51"/>
      <c r="M46" s="51"/>
      <c r="N46" s="22" t="s">
        <v>155</v>
      </c>
      <c r="O46" s="42"/>
    </row>
    <row r="47" spans="2:15" ht="15.75" x14ac:dyDescent="0.25">
      <c r="B47" s="42">
        <v>9</v>
      </c>
      <c r="C47" s="42"/>
      <c r="D47" s="44" t="s">
        <v>1378</v>
      </c>
      <c r="E47" s="45" t="s">
        <v>397</v>
      </c>
      <c r="F47" s="45" t="s">
        <v>398</v>
      </c>
      <c r="G47" s="46">
        <v>46178</v>
      </c>
      <c r="H47" s="46">
        <v>46191</v>
      </c>
      <c r="I47" s="47">
        <v>144000</v>
      </c>
      <c r="J47" s="48"/>
      <c r="K47" s="49"/>
      <c r="L47" s="51">
        <f t="shared" ref="L47:L48" si="5">I47</f>
        <v>144000</v>
      </c>
      <c r="M47" s="51"/>
      <c r="N47" s="22" t="s">
        <v>155</v>
      </c>
      <c r="O47" s="42"/>
    </row>
    <row r="48" spans="2:15" ht="15.75" x14ac:dyDescent="0.25">
      <c r="B48" s="42">
        <v>10</v>
      </c>
      <c r="C48" s="42"/>
      <c r="D48" s="44" t="s">
        <v>1379</v>
      </c>
      <c r="E48" s="45" t="s">
        <v>1380</v>
      </c>
      <c r="F48" s="45" t="s">
        <v>504</v>
      </c>
      <c r="G48" s="46">
        <v>46179</v>
      </c>
      <c r="H48" s="46">
        <v>46192</v>
      </c>
      <c r="I48" s="47">
        <v>130500</v>
      </c>
      <c r="J48" s="48"/>
      <c r="K48" s="49"/>
      <c r="L48" s="51">
        <f t="shared" si="5"/>
        <v>130500</v>
      </c>
      <c r="M48" s="51"/>
      <c r="N48" s="22" t="s">
        <v>155</v>
      </c>
      <c r="O48" s="42"/>
    </row>
    <row r="49" spans="2:15" ht="15.75" x14ac:dyDescent="0.25">
      <c r="B49" s="42">
        <v>11</v>
      </c>
      <c r="C49" s="42"/>
      <c r="D49" s="44" t="s">
        <v>1381</v>
      </c>
      <c r="E49" s="45" t="s">
        <v>520</v>
      </c>
      <c r="F49" s="45" t="s">
        <v>521</v>
      </c>
      <c r="G49" s="46">
        <v>46179</v>
      </c>
      <c r="H49" s="46">
        <v>46192</v>
      </c>
      <c r="I49" s="47">
        <v>360000</v>
      </c>
      <c r="J49" s="48"/>
      <c r="K49" s="49"/>
      <c r="L49" s="51">
        <f>I49</f>
        <v>360000</v>
      </c>
      <c r="M49" s="51"/>
      <c r="N49" s="22" t="s">
        <v>155</v>
      </c>
      <c r="O49" s="42"/>
    </row>
    <row r="50" spans="2:15" ht="15.75" x14ac:dyDescent="0.25">
      <c r="B50" s="197" t="s">
        <v>13</v>
      </c>
      <c r="C50" s="198"/>
      <c r="D50" s="198"/>
      <c r="E50" s="198"/>
      <c r="F50" s="198"/>
      <c r="G50" s="198"/>
      <c r="H50" s="198"/>
      <c r="I50" s="199"/>
      <c r="J50" s="52">
        <f>SUM(J39:J49)</f>
        <v>2520500</v>
      </c>
      <c r="K50" s="53">
        <f>SUM(K39:K49)</f>
        <v>0</v>
      </c>
      <c r="L50" s="54">
        <f>SUM(L39:L49)</f>
        <v>634500</v>
      </c>
      <c r="M50" s="54">
        <f>SUM(M39:M49)</f>
        <v>0</v>
      </c>
      <c r="N50" s="55"/>
      <c r="O50" s="56">
        <f>SUM(J50+K50+L50+M50)</f>
        <v>3155000</v>
      </c>
    </row>
    <row r="51" spans="2:15" x14ac:dyDescent="0.25">
      <c r="D51" s="57"/>
      <c r="I51" s="58"/>
      <c r="J51" s="58"/>
    </row>
    <row r="52" spans="2:15" x14ac:dyDescent="0.25">
      <c r="D52" s="57"/>
      <c r="I52" s="58"/>
      <c r="J52" s="58"/>
    </row>
    <row r="53" spans="2:15" ht="15.75" x14ac:dyDescent="0.25">
      <c r="D53" s="57"/>
      <c r="G53" s="200" t="s">
        <v>22</v>
      </c>
      <c r="H53" s="200"/>
      <c r="I53" s="200"/>
      <c r="J53" s="59">
        <f>SUM(J50+J37+J23)</f>
        <v>10956000</v>
      </c>
      <c r="K53" s="26">
        <f>SUM(K50+K37+K23)</f>
        <v>0</v>
      </c>
      <c r="L53" s="60">
        <f>SUM(L50+L37+L23)</f>
        <v>4534840</v>
      </c>
      <c r="M53" s="60">
        <f>SUM(M50+M37+M23)</f>
        <v>0</v>
      </c>
      <c r="N53" s="39"/>
      <c r="O53" s="30">
        <f>SUM(J53+K53+L53+M53)</f>
        <v>15490840</v>
      </c>
    </row>
    <row r="54" spans="2:15" x14ac:dyDescent="0.25">
      <c r="D54" s="57"/>
      <c r="I54" s="58"/>
      <c r="J54" s="58"/>
    </row>
    <row r="55" spans="2:15" x14ac:dyDescent="0.25">
      <c r="B55" s="201" t="s">
        <v>17</v>
      </c>
      <c r="C55" s="201"/>
      <c r="D55" s="201"/>
      <c r="I55" s="58"/>
      <c r="J55" s="58"/>
    </row>
    <row r="56" spans="2:15" ht="15.75" x14ac:dyDescent="0.25">
      <c r="B56" s="188" t="s">
        <v>4</v>
      </c>
      <c r="C56" s="202" t="s">
        <v>23</v>
      </c>
      <c r="D56" s="188" t="s">
        <v>6</v>
      </c>
      <c r="E56" s="188" t="s">
        <v>7</v>
      </c>
      <c r="F56" s="188" t="s">
        <v>8</v>
      </c>
      <c r="G56" s="188" t="s">
        <v>9</v>
      </c>
      <c r="H56" s="188" t="s">
        <v>10</v>
      </c>
      <c r="I56" s="202" t="s">
        <v>24</v>
      </c>
      <c r="J56" s="169" t="s">
        <v>12</v>
      </c>
      <c r="K56" s="170"/>
      <c r="L56" s="170"/>
      <c r="M56" s="170"/>
      <c r="N56" s="171"/>
      <c r="O56" s="204" t="s">
        <v>13</v>
      </c>
    </row>
    <row r="57" spans="2:15" ht="15.75" x14ac:dyDescent="0.25">
      <c r="B57" s="189"/>
      <c r="C57" s="203"/>
      <c r="D57" s="189"/>
      <c r="E57" s="189"/>
      <c r="F57" s="189"/>
      <c r="G57" s="189"/>
      <c r="H57" s="189"/>
      <c r="I57" s="203"/>
      <c r="J57" s="164" t="s">
        <v>14</v>
      </c>
      <c r="K57" s="165"/>
      <c r="L57" s="166" t="s">
        <v>15</v>
      </c>
      <c r="M57" s="167"/>
      <c r="N57" s="4" t="s">
        <v>16</v>
      </c>
      <c r="O57" s="205"/>
    </row>
    <row r="58" spans="2:15" ht="15.75" x14ac:dyDescent="0.25">
      <c r="B58" s="5"/>
      <c r="C58" s="61"/>
      <c r="D58" s="5"/>
      <c r="E58" s="5"/>
      <c r="F58" s="5"/>
      <c r="G58" s="5"/>
      <c r="H58" s="5"/>
      <c r="I58" s="61"/>
      <c r="J58" s="62" t="s">
        <v>17</v>
      </c>
      <c r="K58" s="6" t="s">
        <v>18</v>
      </c>
      <c r="L58" s="10" t="s">
        <v>17</v>
      </c>
      <c r="M58" s="10" t="s">
        <v>18</v>
      </c>
      <c r="N58" s="4"/>
      <c r="O58" s="7"/>
    </row>
    <row r="59" spans="2:15" ht="15" customHeight="1" x14ac:dyDescent="0.25">
      <c r="B59" s="63">
        <v>1</v>
      </c>
      <c r="C59" s="43" t="s">
        <v>154</v>
      </c>
      <c r="D59" s="64" t="s">
        <v>1382</v>
      </c>
      <c r="E59" s="65" t="s">
        <v>1383</v>
      </c>
      <c r="F59" s="65" t="s">
        <v>1321</v>
      </c>
      <c r="G59" s="66">
        <v>46192</v>
      </c>
      <c r="H59" s="66"/>
      <c r="I59" s="67">
        <v>1063000</v>
      </c>
      <c r="J59" s="37">
        <f>I59</f>
        <v>1063000</v>
      </c>
      <c r="K59" s="68"/>
      <c r="L59" s="69"/>
      <c r="M59" s="69"/>
      <c r="N59" s="22" t="s">
        <v>155</v>
      </c>
      <c r="O59" s="70"/>
    </row>
    <row r="60" spans="2:15" ht="15" customHeight="1" x14ac:dyDescent="0.25">
      <c r="B60" s="63">
        <v>2</v>
      </c>
      <c r="C60" s="12" t="s">
        <v>243</v>
      </c>
      <c r="D60" s="71" t="s">
        <v>1384</v>
      </c>
      <c r="E60" s="71" t="s">
        <v>1385</v>
      </c>
      <c r="F60" s="70" t="s">
        <v>353</v>
      </c>
      <c r="G60" s="66">
        <v>46192</v>
      </c>
      <c r="H60" s="72"/>
      <c r="I60" s="22">
        <v>163200</v>
      </c>
      <c r="J60" s="73"/>
      <c r="K60" s="68"/>
      <c r="L60" s="24">
        <f>I60</f>
        <v>163200</v>
      </c>
      <c r="M60" s="69"/>
      <c r="N60" s="22" t="s">
        <v>155</v>
      </c>
      <c r="O60" s="70"/>
    </row>
    <row r="61" spans="2:15" ht="15" customHeight="1" x14ac:dyDescent="0.25">
      <c r="B61" s="63">
        <v>3</v>
      </c>
      <c r="C61" s="12" t="s">
        <v>243</v>
      </c>
      <c r="D61" s="71" t="s">
        <v>1386</v>
      </c>
      <c r="E61" s="71" t="s">
        <v>1387</v>
      </c>
      <c r="F61" s="70" t="s">
        <v>353</v>
      </c>
      <c r="G61" s="66">
        <v>46192</v>
      </c>
      <c r="H61" s="72"/>
      <c r="I61" s="22">
        <v>113600</v>
      </c>
      <c r="J61" s="73">
        <f t="shared" ref="J61:J67" si="6">I61</f>
        <v>113600</v>
      </c>
      <c r="K61" s="68"/>
      <c r="L61" s="69"/>
      <c r="M61" s="69"/>
      <c r="N61" s="22" t="s">
        <v>155</v>
      </c>
      <c r="O61" s="70"/>
    </row>
    <row r="62" spans="2:15" ht="15" customHeight="1" x14ac:dyDescent="0.25">
      <c r="B62" s="63">
        <v>4</v>
      </c>
      <c r="C62" s="12" t="s">
        <v>243</v>
      </c>
      <c r="D62" s="71" t="s">
        <v>1388</v>
      </c>
      <c r="E62" s="71" t="s">
        <v>1387</v>
      </c>
      <c r="F62" s="70" t="s">
        <v>353</v>
      </c>
      <c r="G62" s="66">
        <v>46192</v>
      </c>
      <c r="H62" s="72"/>
      <c r="I62" s="22">
        <v>87078</v>
      </c>
      <c r="J62" s="73"/>
      <c r="K62" s="68"/>
      <c r="L62" s="24">
        <f>I62</f>
        <v>87078</v>
      </c>
      <c r="M62" s="69"/>
      <c r="N62" s="22" t="s">
        <v>155</v>
      </c>
      <c r="O62" s="70"/>
    </row>
    <row r="63" spans="2:15" ht="15" customHeight="1" x14ac:dyDescent="0.25">
      <c r="B63" s="63">
        <v>5</v>
      </c>
      <c r="C63" s="12" t="s">
        <v>243</v>
      </c>
      <c r="D63" s="71" t="s">
        <v>1389</v>
      </c>
      <c r="E63" s="71" t="s">
        <v>1390</v>
      </c>
      <c r="F63" s="70" t="s">
        <v>353</v>
      </c>
      <c r="G63" s="66">
        <v>46192</v>
      </c>
      <c r="H63" s="72"/>
      <c r="I63" s="22">
        <v>113600</v>
      </c>
      <c r="J63" s="73">
        <f t="shared" si="6"/>
        <v>113600</v>
      </c>
      <c r="K63" s="68"/>
      <c r="L63" s="69"/>
      <c r="M63" s="69"/>
      <c r="N63" s="22" t="s">
        <v>155</v>
      </c>
      <c r="O63" s="70"/>
    </row>
    <row r="64" spans="2:15" ht="15" customHeight="1" x14ac:dyDescent="0.25">
      <c r="B64" s="63">
        <v>6</v>
      </c>
      <c r="C64" s="12" t="s">
        <v>243</v>
      </c>
      <c r="D64" s="71" t="s">
        <v>1391</v>
      </c>
      <c r="E64" s="71" t="s">
        <v>1392</v>
      </c>
      <c r="F64" s="70" t="s">
        <v>540</v>
      </c>
      <c r="G64" s="66">
        <v>46192</v>
      </c>
      <c r="H64" s="72"/>
      <c r="I64" s="22">
        <v>215100</v>
      </c>
      <c r="J64" s="73">
        <f t="shared" si="6"/>
        <v>215100</v>
      </c>
      <c r="K64" s="68"/>
      <c r="L64" s="69"/>
      <c r="M64" s="69"/>
      <c r="N64" s="22" t="s">
        <v>155</v>
      </c>
      <c r="O64" s="70"/>
    </row>
    <row r="65" spans="1:15" ht="15" customHeight="1" x14ac:dyDescent="0.25">
      <c r="B65" s="63">
        <v>7</v>
      </c>
      <c r="C65" s="12" t="s">
        <v>243</v>
      </c>
      <c r="D65" s="71" t="s">
        <v>1393</v>
      </c>
      <c r="E65" s="71" t="s">
        <v>387</v>
      </c>
      <c r="F65" s="70" t="s">
        <v>388</v>
      </c>
      <c r="G65" s="66">
        <v>46192</v>
      </c>
      <c r="H65" s="72"/>
      <c r="I65" s="22">
        <v>555500</v>
      </c>
      <c r="J65" s="73">
        <f t="shared" si="6"/>
        <v>555500</v>
      </c>
      <c r="K65" s="68"/>
      <c r="L65" s="69"/>
      <c r="M65" s="69"/>
      <c r="N65" s="22" t="s">
        <v>155</v>
      </c>
      <c r="O65" s="70"/>
    </row>
    <row r="66" spans="1:15" ht="15" customHeight="1" x14ac:dyDescent="0.25">
      <c r="B66" s="63">
        <v>8</v>
      </c>
      <c r="C66" s="12" t="s">
        <v>243</v>
      </c>
      <c r="D66" s="71" t="s">
        <v>1394</v>
      </c>
      <c r="E66" s="71" t="s">
        <v>1019</v>
      </c>
      <c r="F66" s="70" t="s">
        <v>388</v>
      </c>
      <c r="G66" s="66">
        <v>46192</v>
      </c>
      <c r="H66" s="72"/>
      <c r="I66" s="22">
        <v>971100</v>
      </c>
      <c r="J66" s="73">
        <f t="shared" si="6"/>
        <v>971100</v>
      </c>
      <c r="K66" s="68"/>
      <c r="L66" s="69"/>
      <c r="M66" s="69"/>
      <c r="N66" s="22" t="s">
        <v>155</v>
      </c>
      <c r="O66" s="70"/>
    </row>
    <row r="67" spans="1:15" ht="15" customHeight="1" x14ac:dyDescent="0.25">
      <c r="B67" s="63">
        <v>9</v>
      </c>
      <c r="C67" s="12" t="s">
        <v>243</v>
      </c>
      <c r="D67" s="71" t="s">
        <v>1395</v>
      </c>
      <c r="E67" s="71" t="s">
        <v>498</v>
      </c>
      <c r="F67" s="70" t="s">
        <v>353</v>
      </c>
      <c r="G67" s="66">
        <v>46192</v>
      </c>
      <c r="H67" s="72"/>
      <c r="I67" s="22">
        <v>328700</v>
      </c>
      <c r="J67" s="73">
        <f t="shared" si="6"/>
        <v>328700</v>
      </c>
      <c r="K67" s="68"/>
      <c r="L67" s="69"/>
      <c r="M67" s="69"/>
      <c r="N67" s="22" t="s">
        <v>155</v>
      </c>
      <c r="O67" s="70"/>
    </row>
    <row r="68" spans="1:15" ht="15.75" x14ac:dyDescent="0.25">
      <c r="B68" s="169" t="s">
        <v>25</v>
      </c>
      <c r="C68" s="170"/>
      <c r="D68" s="170"/>
      <c r="E68" s="170"/>
      <c r="F68" s="170"/>
      <c r="G68" s="170"/>
      <c r="H68" s="170"/>
      <c r="I68" s="171"/>
      <c r="J68" s="25">
        <f>SUM(J59:J67)</f>
        <v>3360600</v>
      </c>
      <c r="K68" s="74">
        <f>SUM(K59:K67)</f>
        <v>0</v>
      </c>
      <c r="L68" s="60">
        <f>SUM(L59:L67)</f>
        <v>250278</v>
      </c>
      <c r="M68" s="60">
        <f>SUM(M59:M67)</f>
        <v>0</v>
      </c>
      <c r="N68" s="39"/>
      <c r="O68" s="75">
        <f>SUM(J68+K68+L68+M68)</f>
        <v>3610878</v>
      </c>
    </row>
    <row r="69" spans="1:15" ht="15.75" x14ac:dyDescent="0.25">
      <c r="B69" s="172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</row>
    <row r="70" spans="1:15" x14ac:dyDescent="0.25">
      <c r="B70" s="44">
        <v>1</v>
      </c>
      <c r="C70" s="12" t="s">
        <v>330</v>
      </c>
      <c r="D70" s="71" t="s">
        <v>1396</v>
      </c>
      <c r="E70" s="71" t="s">
        <v>531</v>
      </c>
      <c r="F70" s="70" t="s">
        <v>333</v>
      </c>
      <c r="G70" s="66">
        <v>46192</v>
      </c>
      <c r="H70" s="72"/>
      <c r="I70" s="22">
        <v>328700</v>
      </c>
      <c r="J70" s="73">
        <f t="shared" ref="J70" si="7">I70</f>
        <v>328700</v>
      </c>
      <c r="K70" s="68"/>
      <c r="L70" s="69"/>
      <c r="M70" s="69"/>
      <c r="N70" s="22" t="s">
        <v>155</v>
      </c>
      <c r="O70" s="70"/>
    </row>
    <row r="71" spans="1:15" x14ac:dyDescent="0.25">
      <c r="B71" s="44">
        <v>2</v>
      </c>
      <c r="C71" s="12" t="s">
        <v>330</v>
      </c>
      <c r="D71" s="71" t="s">
        <v>1397</v>
      </c>
      <c r="E71" s="71" t="s">
        <v>887</v>
      </c>
      <c r="F71" s="70" t="s">
        <v>888</v>
      </c>
      <c r="G71" s="66">
        <v>46192</v>
      </c>
      <c r="H71" s="72"/>
      <c r="I71" s="22">
        <v>261000</v>
      </c>
      <c r="J71" s="73"/>
      <c r="K71" s="68"/>
      <c r="L71" s="24">
        <f>I71</f>
        <v>261000</v>
      </c>
      <c r="M71" s="24"/>
      <c r="N71" s="22" t="s">
        <v>155</v>
      </c>
      <c r="O71" s="70"/>
    </row>
    <row r="72" spans="1:15" ht="15.75" x14ac:dyDescent="0.25">
      <c r="A72" t="s">
        <v>3</v>
      </c>
      <c r="B72" s="169" t="s">
        <v>25</v>
      </c>
      <c r="C72" s="170"/>
      <c r="D72" s="170"/>
      <c r="E72" s="170"/>
      <c r="F72" s="170"/>
      <c r="G72" s="170"/>
      <c r="H72" s="170"/>
      <c r="I72" s="171"/>
      <c r="J72" s="76">
        <f>SUM(J70:J71)</f>
        <v>328700</v>
      </c>
      <c r="K72" s="74">
        <f>SUM(K70:K71)</f>
        <v>0</v>
      </c>
      <c r="L72" s="60">
        <f>SUM(L70:L71)</f>
        <v>261000</v>
      </c>
      <c r="M72" s="60">
        <f>SUM(M70:M71)</f>
        <v>0</v>
      </c>
      <c r="N72" s="39" t="s">
        <v>3</v>
      </c>
      <c r="O72" s="75">
        <f>SUM(J72+K72+L72+M72)</f>
        <v>589700</v>
      </c>
    </row>
    <row r="73" spans="1:15" x14ac:dyDescent="0.25">
      <c r="D73" s="57"/>
      <c r="I73" s="58"/>
      <c r="J73" s="58"/>
    </row>
    <row r="74" spans="1:15" ht="15.75" x14ac:dyDescent="0.25">
      <c r="D74" s="57"/>
      <c r="H74" s="169" t="s">
        <v>26</v>
      </c>
      <c r="I74" s="171"/>
      <c r="J74" s="25">
        <f>SUM(J72+J68)</f>
        <v>3689300</v>
      </c>
      <c r="K74" s="74">
        <f>SUM(K72+K68)</f>
        <v>0</v>
      </c>
      <c r="L74" s="60">
        <f>SUM(L72+L68)</f>
        <v>511278</v>
      </c>
      <c r="M74" s="60">
        <f>SUM(M72+M68)</f>
        <v>0</v>
      </c>
      <c r="N74" s="39"/>
      <c r="O74" s="77">
        <f>SUM(J74+K74+L74+M74)</f>
        <v>4200578</v>
      </c>
    </row>
    <row r="75" spans="1:15" ht="15.75" x14ac:dyDescent="0.25">
      <c r="D75" s="57"/>
      <c r="H75" s="41"/>
      <c r="I75" s="41"/>
      <c r="J75" s="41"/>
      <c r="K75" s="78"/>
      <c r="L75" s="78"/>
      <c r="M75" s="78"/>
      <c r="N75" s="79"/>
      <c r="O75" s="80"/>
    </row>
    <row r="76" spans="1:15" ht="15.75" x14ac:dyDescent="0.25">
      <c r="D76" s="57"/>
      <c r="H76" s="174" t="s">
        <v>27</v>
      </c>
      <c r="I76" s="175"/>
      <c r="J76" s="180" t="s">
        <v>14</v>
      </c>
      <c r="K76" s="180"/>
      <c r="L76" s="181" t="s">
        <v>15</v>
      </c>
      <c r="M76" s="181"/>
      <c r="N76" s="70"/>
      <c r="O76" s="182"/>
    </row>
    <row r="77" spans="1:15" ht="15.75" x14ac:dyDescent="0.25">
      <c r="D77" s="57"/>
      <c r="H77" s="176"/>
      <c r="I77" s="177"/>
      <c r="J77" s="6" t="s">
        <v>17</v>
      </c>
      <c r="K77" s="81" t="s">
        <v>18</v>
      </c>
      <c r="L77" s="82" t="s">
        <v>17</v>
      </c>
      <c r="M77" s="82" t="s">
        <v>18</v>
      </c>
      <c r="N77" s="70"/>
      <c r="O77" s="182"/>
    </row>
    <row r="78" spans="1:15" ht="15.75" x14ac:dyDescent="0.25">
      <c r="D78" s="57"/>
      <c r="H78" s="178"/>
      <c r="I78" s="179"/>
      <c r="J78" s="74">
        <f>SUM(J53,J74)</f>
        <v>14645300</v>
      </c>
      <c r="K78" s="74">
        <f>SUM(K74+K53)</f>
        <v>0</v>
      </c>
      <c r="L78" s="60">
        <f>SUM(L74+L53)</f>
        <v>5046118</v>
      </c>
      <c r="M78" s="60">
        <f>SUM(M74+M53)</f>
        <v>0</v>
      </c>
      <c r="N78" s="39"/>
      <c r="O78" s="182"/>
    </row>
    <row r="79" spans="1:15" x14ac:dyDescent="0.25">
      <c r="D79" s="57"/>
      <c r="I79" s="58"/>
      <c r="J79" s="58"/>
    </row>
    <row r="80" spans="1:15" ht="18.75" x14ac:dyDescent="0.3">
      <c r="D80" s="57"/>
      <c r="H80" s="183"/>
      <c r="I80" s="183"/>
      <c r="J80" s="83"/>
      <c r="L80" s="184" t="s">
        <v>28</v>
      </c>
      <c r="M80" s="185"/>
      <c r="N80" s="84">
        <f>SUM(J78+L78)</f>
        <v>19691418</v>
      </c>
      <c r="O80" s="186">
        <f>SUM(N80+N81)</f>
        <v>19691418</v>
      </c>
    </row>
    <row r="81" spans="4:15" ht="18.75" x14ac:dyDescent="0.3">
      <c r="D81" s="57"/>
      <c r="H81" s="183"/>
      <c r="I81" s="183"/>
      <c r="J81" s="83"/>
      <c r="L81" s="184" t="s">
        <v>29</v>
      </c>
      <c r="M81" s="185"/>
      <c r="N81" s="84">
        <f>SUM(K78+M78)</f>
        <v>0</v>
      </c>
      <c r="O81" s="187"/>
    </row>
    <row r="82" spans="4:15" ht="18.75" x14ac:dyDescent="0.3">
      <c r="D82" s="57"/>
      <c r="H82" s="168"/>
      <c r="I82" s="168"/>
      <c r="J82" s="85"/>
      <c r="K82" s="86"/>
    </row>
    <row r="83" spans="4:15" x14ac:dyDescent="0.25">
      <c r="D83" s="2" t="s">
        <v>30</v>
      </c>
      <c r="E83" s="1"/>
      <c r="F83" s="1"/>
      <c r="G83" s="1"/>
      <c r="H83" s="1"/>
      <c r="I83" s="1"/>
      <c r="J83" s="1"/>
      <c r="K83" s="1"/>
    </row>
    <row r="84" spans="4:15" x14ac:dyDescent="0.25">
      <c r="D84" s="2"/>
      <c r="E84" s="1"/>
      <c r="F84" s="1"/>
      <c r="G84" s="1"/>
      <c r="H84" s="1"/>
      <c r="I84" s="1"/>
      <c r="J84" s="1"/>
      <c r="K84" s="1"/>
    </row>
    <row r="85" spans="4:15" x14ac:dyDescent="0.25">
      <c r="D85" s="3" t="s">
        <v>31</v>
      </c>
      <c r="E85" s="3"/>
      <c r="F85" s="3" t="s">
        <v>32</v>
      </c>
      <c r="G85" s="3"/>
      <c r="H85" s="3" t="s">
        <v>33</v>
      </c>
      <c r="I85" s="3"/>
      <c r="J85" s="3" t="s">
        <v>34</v>
      </c>
      <c r="K85" s="3"/>
    </row>
    <row r="86" spans="4:15" x14ac:dyDescent="0.25">
      <c r="D86" s="3"/>
      <c r="E86" s="3"/>
      <c r="F86" s="3"/>
      <c r="G86" s="3"/>
      <c r="H86" s="3"/>
      <c r="I86" s="3"/>
      <c r="J86" s="3"/>
      <c r="K86" s="3"/>
    </row>
    <row r="87" spans="4:15" x14ac:dyDescent="0.25">
      <c r="D87" s="3"/>
      <c r="E87" s="3"/>
      <c r="F87" s="3"/>
      <c r="G87" s="3"/>
      <c r="H87" s="3"/>
      <c r="I87" s="3"/>
      <c r="J87" s="3"/>
      <c r="K87" s="3"/>
    </row>
    <row r="88" spans="4:15" x14ac:dyDescent="0.25">
      <c r="D88" s="3"/>
      <c r="E88" s="3"/>
      <c r="F88" s="3"/>
      <c r="G88" s="3"/>
      <c r="H88" s="3"/>
      <c r="I88" s="3"/>
      <c r="J88" s="3"/>
      <c r="K88" s="3"/>
    </row>
    <row r="89" spans="4:15" x14ac:dyDescent="0.25">
      <c r="D89" s="3" t="s">
        <v>35</v>
      </c>
      <c r="E89" s="3"/>
      <c r="F89" s="3" t="s">
        <v>36</v>
      </c>
      <c r="G89" s="3"/>
      <c r="H89" s="3" t="s">
        <v>36</v>
      </c>
      <c r="I89" s="3"/>
      <c r="J89" s="3" t="s">
        <v>37</v>
      </c>
      <c r="K89" s="3"/>
    </row>
    <row r="90" spans="4:15" x14ac:dyDescent="0.25">
      <c r="D90" s="57"/>
    </row>
    <row r="91" spans="4:15" x14ac:dyDescent="0.25">
      <c r="D91" s="57"/>
    </row>
    <row r="92" spans="4:15" x14ac:dyDescent="0.25">
      <c r="D92" s="57"/>
    </row>
    <row r="93" spans="4:15" x14ac:dyDescent="0.25">
      <c r="D93" s="57"/>
    </row>
    <row r="94" spans="4:15" x14ac:dyDescent="0.25">
      <c r="D94" s="57"/>
    </row>
  </sheetData>
  <mergeCells count="48">
    <mergeCell ref="J57:K57"/>
    <mergeCell ref="L57:M57"/>
    <mergeCell ref="H82:I82"/>
    <mergeCell ref="B68:I68"/>
    <mergeCell ref="B69:O69"/>
    <mergeCell ref="B72:I72"/>
    <mergeCell ref="H74:I74"/>
    <mergeCell ref="H76:I78"/>
    <mergeCell ref="J76:K76"/>
    <mergeCell ref="L76:M76"/>
    <mergeCell ref="O76:O78"/>
    <mergeCell ref="H80:I80"/>
    <mergeCell ref="L80:M80"/>
    <mergeCell ref="O80:O81"/>
    <mergeCell ref="H81:I81"/>
    <mergeCell ref="L81:M81"/>
    <mergeCell ref="G56:G57"/>
    <mergeCell ref="B24:O24"/>
    <mergeCell ref="B37:I37"/>
    <mergeCell ref="B38:O38"/>
    <mergeCell ref="B50:I50"/>
    <mergeCell ref="G53:I53"/>
    <mergeCell ref="B55:D55"/>
    <mergeCell ref="B56:B57"/>
    <mergeCell ref="C56:C57"/>
    <mergeCell ref="D56:D57"/>
    <mergeCell ref="E56:E57"/>
    <mergeCell ref="F56:F57"/>
    <mergeCell ref="H56:H57"/>
    <mergeCell ref="I56:I57"/>
    <mergeCell ref="J56:N56"/>
    <mergeCell ref="O56:O57"/>
    <mergeCell ref="B23:I23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</mergeCells>
  <pageMargins left="0" right="0" top="0" bottom="0" header="0" footer="0"/>
  <pageSetup paperSize="9" scale="65" orientation="landscape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9712-A04E-4556-85D3-DE0C64F5D2A1}">
  <dimension ref="A2:Q83"/>
  <sheetViews>
    <sheetView topLeftCell="E55" workbookViewId="0">
      <selection activeCell="G63" sqref="G63:I63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1399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1400</v>
      </c>
      <c r="E9" s="14" t="s">
        <v>551</v>
      </c>
      <c r="F9" s="15" t="s">
        <v>552</v>
      </c>
      <c r="G9" s="16">
        <v>46181</v>
      </c>
      <c r="H9" s="16">
        <v>46193</v>
      </c>
      <c r="I9" s="23">
        <v>3226500</v>
      </c>
      <c r="J9" s="18">
        <f t="shared" ref="J9:J11" si="0">I9</f>
        <v>3226500</v>
      </c>
      <c r="K9" s="19"/>
      <c r="L9" s="24"/>
      <c r="M9" s="24"/>
      <c r="N9" s="22" t="s">
        <v>155</v>
      </c>
      <c r="O9" s="22"/>
    </row>
    <row r="10" spans="2:17" x14ac:dyDescent="0.25">
      <c r="B10" s="11">
        <v>2</v>
      </c>
      <c r="C10" s="12"/>
      <c r="D10" s="13" t="s">
        <v>1401</v>
      </c>
      <c r="E10" s="14" t="s">
        <v>554</v>
      </c>
      <c r="F10" s="15" t="s">
        <v>552</v>
      </c>
      <c r="G10" s="16">
        <v>46181</v>
      </c>
      <c r="H10" s="16">
        <v>46193</v>
      </c>
      <c r="I10" s="23">
        <v>328700</v>
      </c>
      <c r="J10" s="18">
        <f t="shared" si="0"/>
        <v>328700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1440</v>
      </c>
      <c r="E11" s="14" t="s">
        <v>1441</v>
      </c>
      <c r="F11" s="15" t="s">
        <v>557</v>
      </c>
      <c r="G11" s="16">
        <v>46165</v>
      </c>
      <c r="H11" s="16">
        <v>46178</v>
      </c>
      <c r="I11" s="23">
        <v>340800</v>
      </c>
      <c r="J11" s="18">
        <f t="shared" si="0"/>
        <v>340800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1402</v>
      </c>
      <c r="E12" s="14" t="s">
        <v>170</v>
      </c>
      <c r="F12" s="15" t="s">
        <v>135</v>
      </c>
      <c r="G12" s="16">
        <v>46165</v>
      </c>
      <c r="H12" s="16">
        <v>46178</v>
      </c>
      <c r="I12" s="23">
        <v>655000</v>
      </c>
      <c r="J12" s="18"/>
      <c r="K12" s="19"/>
      <c r="L12" s="24">
        <f>I12</f>
        <v>655000</v>
      </c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1403</v>
      </c>
      <c r="E13" s="14" t="s">
        <v>170</v>
      </c>
      <c r="F13" s="15" t="s">
        <v>135</v>
      </c>
      <c r="G13" s="16">
        <v>46179</v>
      </c>
      <c r="H13" s="16">
        <v>46192</v>
      </c>
      <c r="I13" s="23">
        <v>118000</v>
      </c>
      <c r="J13" s="18"/>
      <c r="K13" s="19"/>
      <c r="L13" s="24">
        <f t="shared" ref="L13:L16" si="1">I13</f>
        <v>118000</v>
      </c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1404</v>
      </c>
      <c r="E14" s="14" t="s">
        <v>561</v>
      </c>
      <c r="F14" s="15" t="s">
        <v>562</v>
      </c>
      <c r="G14" s="16">
        <v>46181</v>
      </c>
      <c r="H14" s="16">
        <v>46193</v>
      </c>
      <c r="I14" s="23">
        <v>225280</v>
      </c>
      <c r="J14" s="18"/>
      <c r="K14" s="19"/>
      <c r="L14" s="24">
        <f t="shared" si="1"/>
        <v>225280</v>
      </c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1405</v>
      </c>
      <c r="E15" s="14" t="s">
        <v>554</v>
      </c>
      <c r="F15" s="15" t="s">
        <v>552</v>
      </c>
      <c r="G15" s="16">
        <v>46181</v>
      </c>
      <c r="H15" s="16">
        <v>46193</v>
      </c>
      <c r="I15" s="23">
        <v>231256</v>
      </c>
      <c r="J15" s="18"/>
      <c r="K15" s="19"/>
      <c r="L15" s="24">
        <f t="shared" si="1"/>
        <v>231256</v>
      </c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1406</v>
      </c>
      <c r="E16" s="14" t="s">
        <v>566</v>
      </c>
      <c r="F16" s="15" t="s">
        <v>135</v>
      </c>
      <c r="G16" s="16">
        <v>46181</v>
      </c>
      <c r="H16" s="16">
        <v>46193</v>
      </c>
      <c r="I16" s="23">
        <v>2822400</v>
      </c>
      <c r="J16" s="18"/>
      <c r="K16" s="19"/>
      <c r="L16" s="24">
        <f t="shared" si="1"/>
        <v>2822400</v>
      </c>
      <c r="M16" s="24"/>
      <c r="N16" s="22" t="s">
        <v>155</v>
      </c>
      <c r="O16" s="22"/>
    </row>
    <row r="17" spans="2:15" ht="15.75" x14ac:dyDescent="0.25">
      <c r="B17" s="169" t="s">
        <v>13</v>
      </c>
      <c r="C17" s="170"/>
      <c r="D17" s="170"/>
      <c r="E17" s="170"/>
      <c r="F17" s="170"/>
      <c r="G17" s="170"/>
      <c r="H17" s="170"/>
      <c r="I17" s="171"/>
      <c r="J17" s="25">
        <f>SUM(J9:J16)</f>
        <v>3896000</v>
      </c>
      <c r="K17" s="26">
        <f>SUM(K9:K16)</f>
        <v>0</v>
      </c>
      <c r="L17" s="27">
        <f>SUM(L9:L16)</f>
        <v>4051936</v>
      </c>
      <c r="M17" s="28">
        <f>SUM(M9:M16)</f>
        <v>0</v>
      </c>
      <c r="N17" s="29"/>
      <c r="O17" s="30">
        <f>SUM(J17+K17+L17+M17)</f>
        <v>7947936</v>
      </c>
    </row>
    <row r="18" spans="2:15" ht="15.75" x14ac:dyDescent="0.25">
      <c r="B18" s="190"/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  <c r="N18" s="191"/>
      <c r="O18" s="191"/>
    </row>
    <row r="19" spans="2:15" x14ac:dyDescent="0.25">
      <c r="B19" s="11">
        <v>1</v>
      </c>
      <c r="C19" s="31" t="s">
        <v>20</v>
      </c>
      <c r="D19" s="13" t="s">
        <v>1407</v>
      </c>
      <c r="E19" s="32" t="s">
        <v>1408</v>
      </c>
      <c r="F19" s="33" t="s">
        <v>326</v>
      </c>
      <c r="G19" s="34">
        <v>46165</v>
      </c>
      <c r="H19" s="35">
        <v>46178</v>
      </c>
      <c r="I19" s="36">
        <v>328700</v>
      </c>
      <c r="J19" s="37">
        <f>I19</f>
        <v>328700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2</v>
      </c>
      <c r="C20" s="31"/>
      <c r="D20" s="13" t="s">
        <v>1409</v>
      </c>
      <c r="E20" s="32" t="s">
        <v>579</v>
      </c>
      <c r="F20" s="33" t="s">
        <v>580</v>
      </c>
      <c r="G20" s="34">
        <v>46167</v>
      </c>
      <c r="H20" s="35">
        <v>46180</v>
      </c>
      <c r="I20" s="36">
        <v>215100</v>
      </c>
      <c r="J20" s="37">
        <f t="shared" ref="J20:J22" si="2">I20</f>
        <v>215100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3</v>
      </c>
      <c r="C21" s="31"/>
      <c r="D21" s="13" t="s">
        <v>1410</v>
      </c>
      <c r="E21" s="32" t="s">
        <v>1411</v>
      </c>
      <c r="F21" s="33" t="s">
        <v>581</v>
      </c>
      <c r="G21" s="34">
        <v>46167</v>
      </c>
      <c r="H21" s="35">
        <v>46180</v>
      </c>
      <c r="I21" s="36">
        <v>215100</v>
      </c>
      <c r="J21" s="37">
        <f t="shared" si="2"/>
        <v>215100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4</v>
      </c>
      <c r="C22" s="31"/>
      <c r="D22" s="13" t="s">
        <v>1412</v>
      </c>
      <c r="E22" s="32" t="s">
        <v>575</v>
      </c>
      <c r="F22" s="33" t="s">
        <v>576</v>
      </c>
      <c r="G22" s="34">
        <v>46181</v>
      </c>
      <c r="H22" s="35">
        <v>46193</v>
      </c>
      <c r="I22" s="36">
        <v>113600</v>
      </c>
      <c r="J22" s="37">
        <f t="shared" si="2"/>
        <v>113600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5</v>
      </c>
      <c r="C23" s="31"/>
      <c r="D23" s="13" t="s">
        <v>1413</v>
      </c>
      <c r="E23" s="32" t="s">
        <v>578</v>
      </c>
      <c r="F23" s="33" t="s">
        <v>576</v>
      </c>
      <c r="G23" s="34">
        <v>46181</v>
      </c>
      <c r="H23" s="35">
        <v>46193</v>
      </c>
      <c r="I23" s="36">
        <v>430200</v>
      </c>
      <c r="J23" s="37">
        <v>300000</v>
      </c>
      <c r="K23" s="19"/>
      <c r="L23" s="24"/>
      <c r="M23" s="24"/>
      <c r="N23" s="22" t="s">
        <v>158</v>
      </c>
      <c r="O23" s="22"/>
    </row>
    <row r="24" spans="2:15" x14ac:dyDescent="0.25">
      <c r="B24" s="11">
        <v>6</v>
      </c>
      <c r="C24" s="31"/>
      <c r="D24" s="13" t="s">
        <v>1414</v>
      </c>
      <c r="E24" s="32" t="s">
        <v>1411</v>
      </c>
      <c r="F24" s="33" t="s">
        <v>581</v>
      </c>
      <c r="G24" s="34">
        <v>46167</v>
      </c>
      <c r="H24" s="35">
        <v>46180</v>
      </c>
      <c r="I24" s="36">
        <v>144000</v>
      </c>
      <c r="J24" s="37"/>
      <c r="K24" s="19"/>
      <c r="L24" s="24">
        <f t="shared" ref="L24:L27" si="3">I24</f>
        <v>144000</v>
      </c>
      <c r="M24" s="24"/>
      <c r="N24" s="22" t="s">
        <v>155</v>
      </c>
      <c r="O24" s="22"/>
    </row>
    <row r="25" spans="2:15" x14ac:dyDescent="0.25">
      <c r="B25" s="11">
        <v>7</v>
      </c>
      <c r="C25" s="31"/>
      <c r="D25" s="13" t="s">
        <v>590</v>
      </c>
      <c r="E25" s="32" t="s">
        <v>356</v>
      </c>
      <c r="F25" s="33" t="s">
        <v>352</v>
      </c>
      <c r="G25" s="34">
        <v>46167</v>
      </c>
      <c r="H25" s="35">
        <v>46180</v>
      </c>
      <c r="I25" s="36">
        <v>200000</v>
      </c>
      <c r="J25" s="37"/>
      <c r="K25" s="19"/>
      <c r="L25" s="24">
        <f t="shared" si="3"/>
        <v>200000</v>
      </c>
      <c r="M25" s="24"/>
      <c r="N25" s="22" t="s">
        <v>155</v>
      </c>
      <c r="O25" s="22"/>
    </row>
    <row r="26" spans="2:15" x14ac:dyDescent="0.25">
      <c r="B26" s="11">
        <v>8</v>
      </c>
      <c r="C26" s="31"/>
      <c r="D26" s="13" t="s">
        <v>1415</v>
      </c>
      <c r="E26" s="32" t="s">
        <v>575</v>
      </c>
      <c r="F26" s="33" t="s">
        <v>576</v>
      </c>
      <c r="G26" s="34">
        <v>46181</v>
      </c>
      <c r="H26" s="35">
        <v>46193</v>
      </c>
      <c r="I26" s="36">
        <v>342780</v>
      </c>
      <c r="J26" s="37"/>
      <c r="K26" s="19"/>
      <c r="L26" s="24">
        <f t="shared" si="3"/>
        <v>342780</v>
      </c>
      <c r="M26" s="24"/>
      <c r="N26" s="22" t="s">
        <v>155</v>
      </c>
      <c r="O26" s="22"/>
    </row>
    <row r="27" spans="2:15" x14ac:dyDescent="0.25">
      <c r="B27" s="11">
        <v>9</v>
      </c>
      <c r="C27" s="31"/>
      <c r="D27" s="13" t="s">
        <v>1416</v>
      </c>
      <c r="E27" s="32" t="s">
        <v>1417</v>
      </c>
      <c r="F27" s="33" t="s">
        <v>576</v>
      </c>
      <c r="G27" s="34">
        <v>46181</v>
      </c>
      <c r="H27" s="35">
        <v>46193</v>
      </c>
      <c r="I27" s="36">
        <v>144000</v>
      </c>
      <c r="J27" s="37"/>
      <c r="K27" s="19"/>
      <c r="L27" s="24">
        <f t="shared" si="3"/>
        <v>144000</v>
      </c>
      <c r="M27" s="24"/>
      <c r="N27" s="22" t="s">
        <v>155</v>
      </c>
      <c r="O27" s="22"/>
    </row>
    <row r="28" spans="2:15" ht="15.75" x14ac:dyDescent="0.25">
      <c r="B28" s="192" t="s">
        <v>13</v>
      </c>
      <c r="C28" s="193"/>
      <c r="D28" s="193"/>
      <c r="E28" s="193"/>
      <c r="F28" s="193"/>
      <c r="G28" s="193"/>
      <c r="H28" s="193"/>
      <c r="I28" s="194"/>
      <c r="J28" s="38">
        <f>SUM(J19:J27)</f>
        <v>1172500</v>
      </c>
      <c r="K28" s="26">
        <f>SUM(K19:K27)</f>
        <v>0</v>
      </c>
      <c r="L28" s="27">
        <f>SUM(L19:L27)</f>
        <v>830780</v>
      </c>
      <c r="M28" s="27">
        <f>SUM(M19:M27)</f>
        <v>0</v>
      </c>
      <c r="N28" s="39"/>
      <c r="O28" s="40">
        <f>SUM(J28+K28+L28+M28)</f>
        <v>2003280</v>
      </c>
    </row>
    <row r="29" spans="2:15" ht="15.75" x14ac:dyDescent="0.25">
      <c r="B29" s="195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</row>
    <row r="30" spans="2:15" ht="15.75" x14ac:dyDescent="0.25">
      <c r="B30" s="42">
        <v>1</v>
      </c>
      <c r="C30" s="43" t="s">
        <v>21</v>
      </c>
      <c r="D30" s="44" t="s">
        <v>1371</v>
      </c>
      <c r="E30" s="45" t="s">
        <v>506</v>
      </c>
      <c r="F30" s="45" t="s">
        <v>504</v>
      </c>
      <c r="G30" s="46">
        <v>46179</v>
      </c>
      <c r="H30" s="46">
        <v>46192</v>
      </c>
      <c r="I30" s="47">
        <v>115100</v>
      </c>
      <c r="J30" s="48">
        <f>I30</f>
        <v>115100</v>
      </c>
      <c r="K30" s="49"/>
      <c r="L30" s="50"/>
      <c r="M30" s="50"/>
      <c r="N30" s="22" t="s">
        <v>155</v>
      </c>
      <c r="O30" s="42"/>
    </row>
    <row r="31" spans="2:15" ht="15.75" x14ac:dyDescent="0.25">
      <c r="B31" s="42">
        <v>2</v>
      </c>
      <c r="C31" s="43"/>
      <c r="D31" s="44" t="s">
        <v>1418</v>
      </c>
      <c r="E31" s="45" t="s">
        <v>508</v>
      </c>
      <c r="F31" s="45" t="s">
        <v>504</v>
      </c>
      <c r="G31" s="46">
        <v>46179</v>
      </c>
      <c r="H31" s="46">
        <v>46192</v>
      </c>
      <c r="I31" s="47">
        <v>113600</v>
      </c>
      <c r="J31" s="48">
        <f t="shared" ref="J31:J37" si="4">I31</f>
        <v>113600</v>
      </c>
      <c r="K31" s="49"/>
      <c r="L31" s="50"/>
      <c r="M31" s="50"/>
      <c r="N31" s="22" t="s">
        <v>155</v>
      </c>
      <c r="O31" s="42"/>
    </row>
    <row r="32" spans="2:15" ht="15.75" x14ac:dyDescent="0.25">
      <c r="B32" s="42">
        <v>3</v>
      </c>
      <c r="C32" s="43"/>
      <c r="D32" s="44" t="s">
        <v>1419</v>
      </c>
      <c r="E32" s="45" t="s">
        <v>1420</v>
      </c>
      <c r="F32" s="45" t="s">
        <v>1066</v>
      </c>
      <c r="G32" s="46">
        <v>46181</v>
      </c>
      <c r="H32" s="46">
        <v>46193</v>
      </c>
      <c r="I32" s="47">
        <v>1075500</v>
      </c>
      <c r="J32" s="48">
        <f t="shared" si="4"/>
        <v>1075500</v>
      </c>
      <c r="K32" s="49"/>
      <c r="L32" s="50"/>
      <c r="M32" s="50"/>
      <c r="N32" s="22" t="s">
        <v>155</v>
      </c>
      <c r="O32" s="42"/>
    </row>
    <row r="33" spans="2:15" ht="15.75" x14ac:dyDescent="0.25">
      <c r="B33" s="42">
        <v>4</v>
      </c>
      <c r="C33" s="43"/>
      <c r="D33" s="44" t="s">
        <v>1421</v>
      </c>
      <c r="E33" s="45" t="s">
        <v>607</v>
      </c>
      <c r="F33" s="45" t="s">
        <v>608</v>
      </c>
      <c r="G33" s="46">
        <v>46181</v>
      </c>
      <c r="H33" s="46">
        <v>46193</v>
      </c>
      <c r="I33" s="47">
        <v>1720800</v>
      </c>
      <c r="J33" s="48">
        <v>1200000</v>
      </c>
      <c r="K33" s="49"/>
      <c r="L33" s="50"/>
      <c r="M33" s="50"/>
      <c r="N33" s="22" t="s">
        <v>158</v>
      </c>
      <c r="O33" s="42"/>
    </row>
    <row r="34" spans="2:15" ht="15.75" x14ac:dyDescent="0.25">
      <c r="B34" s="42">
        <v>5</v>
      </c>
      <c r="C34" s="43"/>
      <c r="D34" s="44" t="s">
        <v>1422</v>
      </c>
      <c r="E34" s="45" t="s">
        <v>610</v>
      </c>
      <c r="F34" s="45" t="s">
        <v>611</v>
      </c>
      <c r="G34" s="46">
        <v>46181</v>
      </c>
      <c r="H34" s="46">
        <v>46193</v>
      </c>
      <c r="I34" s="47">
        <v>430200</v>
      </c>
      <c r="J34" s="48">
        <f t="shared" si="4"/>
        <v>430200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6</v>
      </c>
      <c r="C35" s="43"/>
      <c r="D35" s="44" t="s">
        <v>1423</v>
      </c>
      <c r="E35" s="45" t="s">
        <v>597</v>
      </c>
      <c r="F35" s="45" t="s">
        <v>598</v>
      </c>
      <c r="G35" s="46">
        <v>46181</v>
      </c>
      <c r="H35" s="46">
        <v>46193</v>
      </c>
      <c r="I35" s="47">
        <v>215100</v>
      </c>
      <c r="J35" s="48">
        <f t="shared" si="4"/>
        <v>215100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7</v>
      </c>
      <c r="C36" s="43"/>
      <c r="D36" s="44" t="s">
        <v>1424</v>
      </c>
      <c r="E36" s="45" t="s">
        <v>613</v>
      </c>
      <c r="F36" s="45" t="s">
        <v>614</v>
      </c>
      <c r="G36" s="46">
        <v>46181</v>
      </c>
      <c r="H36" s="46">
        <v>46193</v>
      </c>
      <c r="I36" s="47">
        <v>113600</v>
      </c>
      <c r="J36" s="48">
        <v>60000</v>
      </c>
      <c r="K36" s="49"/>
      <c r="L36" s="50"/>
      <c r="M36" s="50"/>
      <c r="N36" s="22" t="s">
        <v>158</v>
      </c>
      <c r="O36" s="42"/>
    </row>
    <row r="37" spans="2:15" ht="15.75" x14ac:dyDescent="0.25">
      <c r="B37" s="42">
        <v>8</v>
      </c>
      <c r="C37" s="43"/>
      <c r="D37" s="44" t="s">
        <v>1425</v>
      </c>
      <c r="E37" s="45" t="s">
        <v>600</v>
      </c>
      <c r="F37" s="45" t="s">
        <v>601</v>
      </c>
      <c r="G37" s="46">
        <v>46181</v>
      </c>
      <c r="H37" s="46">
        <v>46193</v>
      </c>
      <c r="I37" s="47">
        <v>543800</v>
      </c>
      <c r="J37" s="48">
        <f t="shared" si="4"/>
        <v>543800</v>
      </c>
      <c r="K37" s="49"/>
      <c r="L37" s="51"/>
      <c r="M37" s="51"/>
      <c r="N37" s="22" t="s">
        <v>155</v>
      </c>
      <c r="O37" s="42"/>
    </row>
    <row r="38" spans="2:15" ht="15.75" x14ac:dyDescent="0.25">
      <c r="B38" s="42">
        <v>9</v>
      </c>
      <c r="C38" s="42"/>
      <c r="D38" s="44" t="s">
        <v>1426</v>
      </c>
      <c r="E38" s="45" t="s">
        <v>600</v>
      </c>
      <c r="F38" s="45" t="s">
        <v>601</v>
      </c>
      <c r="G38" s="46">
        <v>46181</v>
      </c>
      <c r="H38" s="46">
        <v>46193</v>
      </c>
      <c r="I38" s="47">
        <v>262000</v>
      </c>
      <c r="J38" s="48"/>
      <c r="K38" s="49"/>
      <c r="L38" s="51">
        <f t="shared" ref="L38:L39" si="5">I38</f>
        <v>262000</v>
      </c>
      <c r="M38" s="51"/>
      <c r="N38" s="22" t="s">
        <v>155</v>
      </c>
      <c r="O38" s="42"/>
    </row>
    <row r="39" spans="2:15" ht="15.75" x14ac:dyDescent="0.25">
      <c r="B39" s="42">
        <v>10</v>
      </c>
      <c r="C39" s="42"/>
      <c r="D39" s="44" t="s">
        <v>1427</v>
      </c>
      <c r="E39" s="45" t="s">
        <v>1428</v>
      </c>
      <c r="F39" s="45" t="s">
        <v>206</v>
      </c>
      <c r="G39" s="46">
        <v>46184</v>
      </c>
      <c r="H39" s="46">
        <v>46197</v>
      </c>
      <c r="I39" s="47">
        <v>435000</v>
      </c>
      <c r="J39" s="48"/>
      <c r="K39" s="49"/>
      <c r="L39" s="51">
        <f t="shared" si="5"/>
        <v>435000</v>
      </c>
      <c r="M39" s="51"/>
      <c r="N39" s="22" t="s">
        <v>155</v>
      </c>
      <c r="O39" s="42"/>
    </row>
    <row r="40" spans="2:15" ht="15.75" x14ac:dyDescent="0.25">
      <c r="B40" s="197" t="s">
        <v>13</v>
      </c>
      <c r="C40" s="198"/>
      <c r="D40" s="198"/>
      <c r="E40" s="198"/>
      <c r="F40" s="198"/>
      <c r="G40" s="198"/>
      <c r="H40" s="198"/>
      <c r="I40" s="199"/>
      <c r="J40" s="52">
        <f>SUM(J30:J39)</f>
        <v>3753300</v>
      </c>
      <c r="K40" s="53">
        <f>SUM(K30:K39)</f>
        <v>0</v>
      </c>
      <c r="L40" s="54">
        <f>SUM(L30:L39)</f>
        <v>697000</v>
      </c>
      <c r="M40" s="54">
        <f>SUM(M30:M39)</f>
        <v>0</v>
      </c>
      <c r="N40" s="55"/>
      <c r="O40" s="56">
        <f>SUM(J40+K40+L40+M40)</f>
        <v>4450300</v>
      </c>
    </row>
    <row r="41" spans="2:15" x14ac:dyDescent="0.25">
      <c r="D41" s="57"/>
      <c r="I41" s="58"/>
      <c r="J41" s="58"/>
    </row>
    <row r="42" spans="2:15" x14ac:dyDescent="0.25">
      <c r="D42" s="57"/>
      <c r="I42" s="58"/>
      <c r="J42" s="58"/>
    </row>
    <row r="43" spans="2:15" ht="15.75" x14ac:dyDescent="0.25">
      <c r="D43" s="57"/>
      <c r="G43" s="200" t="s">
        <v>22</v>
      </c>
      <c r="H43" s="200"/>
      <c r="I43" s="200"/>
      <c r="J43" s="59">
        <f>SUM(J40+J28+J17)</f>
        <v>8821800</v>
      </c>
      <c r="K43" s="26">
        <f>SUM(K40+K28+K17)</f>
        <v>0</v>
      </c>
      <c r="L43" s="60">
        <f>SUM(L40+L28+L17)</f>
        <v>5579716</v>
      </c>
      <c r="M43" s="60">
        <f>SUM(M40+M28+M17)</f>
        <v>0</v>
      </c>
      <c r="N43" s="39"/>
      <c r="O43" s="30">
        <f>SUM(J43+K43+L43+M43)</f>
        <v>14401516</v>
      </c>
    </row>
    <row r="44" spans="2:15" x14ac:dyDescent="0.25">
      <c r="D44" s="57"/>
      <c r="I44" s="58"/>
      <c r="J44" s="58"/>
    </row>
    <row r="45" spans="2:15" x14ac:dyDescent="0.25">
      <c r="B45" s="201" t="s">
        <v>17</v>
      </c>
      <c r="C45" s="201"/>
      <c r="D45" s="201"/>
      <c r="I45" s="58"/>
      <c r="J45" s="58"/>
    </row>
    <row r="46" spans="2:15" ht="15.75" x14ac:dyDescent="0.25">
      <c r="B46" s="188" t="s">
        <v>4</v>
      </c>
      <c r="C46" s="202" t="s">
        <v>23</v>
      </c>
      <c r="D46" s="188" t="s">
        <v>6</v>
      </c>
      <c r="E46" s="188" t="s">
        <v>7</v>
      </c>
      <c r="F46" s="188" t="s">
        <v>8</v>
      </c>
      <c r="G46" s="188" t="s">
        <v>9</v>
      </c>
      <c r="H46" s="188" t="s">
        <v>10</v>
      </c>
      <c r="I46" s="202" t="s">
        <v>24</v>
      </c>
      <c r="J46" s="169" t="s">
        <v>12</v>
      </c>
      <c r="K46" s="170"/>
      <c r="L46" s="170"/>
      <c r="M46" s="170"/>
      <c r="N46" s="171"/>
      <c r="O46" s="204" t="s">
        <v>13</v>
      </c>
    </row>
    <row r="47" spans="2:15" ht="15.75" x14ac:dyDescent="0.25">
      <c r="B47" s="189"/>
      <c r="C47" s="203"/>
      <c r="D47" s="189"/>
      <c r="E47" s="189"/>
      <c r="F47" s="189"/>
      <c r="G47" s="189"/>
      <c r="H47" s="189"/>
      <c r="I47" s="203"/>
      <c r="J47" s="164" t="s">
        <v>14</v>
      </c>
      <c r="K47" s="165"/>
      <c r="L47" s="166" t="s">
        <v>15</v>
      </c>
      <c r="M47" s="167"/>
      <c r="N47" s="4" t="s">
        <v>16</v>
      </c>
      <c r="O47" s="205"/>
    </row>
    <row r="48" spans="2:15" ht="15.75" x14ac:dyDescent="0.25">
      <c r="B48" s="5"/>
      <c r="C48" s="61"/>
      <c r="D48" s="5"/>
      <c r="E48" s="5"/>
      <c r="F48" s="5"/>
      <c r="G48" s="5"/>
      <c r="H48" s="5"/>
      <c r="I48" s="61"/>
      <c r="J48" s="62" t="s">
        <v>17</v>
      </c>
      <c r="K48" s="6" t="s">
        <v>18</v>
      </c>
      <c r="L48" s="10" t="s">
        <v>17</v>
      </c>
      <c r="M48" s="10" t="s">
        <v>18</v>
      </c>
      <c r="N48" s="4"/>
      <c r="O48" s="7"/>
    </row>
    <row r="49" spans="1:15" ht="15" customHeight="1" x14ac:dyDescent="0.25">
      <c r="B49" s="63">
        <v>1</v>
      </c>
      <c r="C49" s="43" t="s">
        <v>154</v>
      </c>
      <c r="D49" s="64" t="s">
        <v>1429</v>
      </c>
      <c r="E49" s="65" t="s">
        <v>623</v>
      </c>
      <c r="F49" s="65" t="s">
        <v>624</v>
      </c>
      <c r="G49" s="66">
        <v>46193</v>
      </c>
      <c r="H49" s="66"/>
      <c r="I49" s="67">
        <v>430200</v>
      </c>
      <c r="J49" s="37">
        <f>I49</f>
        <v>430200</v>
      </c>
      <c r="K49" s="68"/>
      <c r="L49" s="69"/>
      <c r="M49" s="69"/>
      <c r="N49" s="22" t="s">
        <v>155</v>
      </c>
      <c r="O49" s="70"/>
    </row>
    <row r="50" spans="1:15" ht="15" customHeight="1" x14ac:dyDescent="0.25">
      <c r="B50" s="63">
        <v>2</v>
      </c>
      <c r="C50" s="43" t="s">
        <v>154</v>
      </c>
      <c r="D50" s="71" t="s">
        <v>1430</v>
      </c>
      <c r="E50" s="71" t="s">
        <v>626</v>
      </c>
      <c r="F50" s="70" t="s">
        <v>627</v>
      </c>
      <c r="G50" s="66">
        <v>46193</v>
      </c>
      <c r="H50" s="72"/>
      <c r="I50" s="22">
        <v>657400</v>
      </c>
      <c r="J50" s="37">
        <f>I50</f>
        <v>657400</v>
      </c>
      <c r="K50" s="68"/>
      <c r="L50" s="24"/>
      <c r="M50" s="69"/>
      <c r="N50" s="22" t="s">
        <v>155</v>
      </c>
      <c r="O50" s="70"/>
    </row>
    <row r="51" spans="1:15" ht="15" customHeight="1" x14ac:dyDescent="0.25">
      <c r="B51" s="63">
        <v>3</v>
      </c>
      <c r="C51" s="43" t="s">
        <v>154</v>
      </c>
      <c r="D51" s="71" t="s">
        <v>1431</v>
      </c>
      <c r="E51" s="71" t="s">
        <v>623</v>
      </c>
      <c r="F51" s="70" t="s">
        <v>624</v>
      </c>
      <c r="G51" s="66">
        <v>46193</v>
      </c>
      <c r="H51" s="72"/>
      <c r="I51" s="22">
        <v>388800</v>
      </c>
      <c r="J51" s="37"/>
      <c r="K51" s="68"/>
      <c r="L51" s="24">
        <f>I51</f>
        <v>388800</v>
      </c>
      <c r="M51" s="69"/>
      <c r="N51" s="22" t="s">
        <v>155</v>
      </c>
      <c r="O51" s="70"/>
    </row>
    <row r="52" spans="1:15" ht="15" customHeight="1" x14ac:dyDescent="0.25">
      <c r="B52" s="63">
        <v>4</v>
      </c>
      <c r="C52" s="43" t="s">
        <v>154</v>
      </c>
      <c r="D52" s="71" t="s">
        <v>1432</v>
      </c>
      <c r="E52" s="71" t="s">
        <v>626</v>
      </c>
      <c r="F52" s="70" t="s">
        <v>627</v>
      </c>
      <c r="G52" s="66">
        <v>46193</v>
      </c>
      <c r="H52" s="72"/>
      <c r="I52" s="22">
        <v>105600</v>
      </c>
      <c r="J52" s="37"/>
      <c r="K52" s="68"/>
      <c r="L52" s="24">
        <f t="shared" ref="L52" si="6">I52</f>
        <v>105600</v>
      </c>
      <c r="M52" s="69"/>
      <c r="N52" s="22" t="s">
        <v>155</v>
      </c>
      <c r="O52" s="70"/>
    </row>
    <row r="53" spans="1:15" ht="15" customHeight="1" x14ac:dyDescent="0.25">
      <c r="B53" s="63">
        <v>5</v>
      </c>
      <c r="C53" s="43" t="s">
        <v>243</v>
      </c>
      <c r="D53" s="71" t="s">
        <v>1433</v>
      </c>
      <c r="E53" s="71" t="s">
        <v>1434</v>
      </c>
      <c r="F53" s="70" t="s">
        <v>268</v>
      </c>
      <c r="G53" s="66">
        <v>46193</v>
      </c>
      <c r="H53" s="72"/>
      <c r="I53" s="22">
        <v>113600</v>
      </c>
      <c r="J53" s="37">
        <f>I53</f>
        <v>113600</v>
      </c>
      <c r="K53" s="68"/>
      <c r="L53" s="24"/>
      <c r="M53" s="69"/>
      <c r="N53" s="22" t="s">
        <v>155</v>
      </c>
      <c r="O53" s="70"/>
    </row>
    <row r="54" spans="1:15" ht="15" customHeight="1" x14ac:dyDescent="0.25">
      <c r="B54" s="63">
        <v>6</v>
      </c>
      <c r="C54" s="43" t="s">
        <v>243</v>
      </c>
      <c r="D54" s="71" t="s">
        <v>1435</v>
      </c>
      <c r="E54" s="71" t="s">
        <v>1434</v>
      </c>
      <c r="F54" s="70" t="s">
        <v>268</v>
      </c>
      <c r="G54" s="66">
        <v>46193</v>
      </c>
      <c r="H54" s="72"/>
      <c r="I54" s="22">
        <v>55200</v>
      </c>
      <c r="J54" s="37"/>
      <c r="K54" s="68"/>
      <c r="L54" s="24">
        <f>I54</f>
        <v>55200</v>
      </c>
      <c r="M54" s="69"/>
      <c r="N54" s="22" t="s">
        <v>155</v>
      </c>
      <c r="O54" s="70"/>
    </row>
    <row r="55" spans="1:15" ht="15" customHeight="1" x14ac:dyDescent="0.25">
      <c r="B55" s="63">
        <v>7</v>
      </c>
      <c r="C55" s="43" t="s">
        <v>243</v>
      </c>
      <c r="D55" s="71" t="s">
        <v>1436</v>
      </c>
      <c r="E55" s="71" t="s">
        <v>1437</v>
      </c>
      <c r="F55" s="70" t="s">
        <v>326</v>
      </c>
      <c r="G55" s="66">
        <v>46193</v>
      </c>
      <c r="H55" s="72"/>
      <c r="I55" s="22">
        <v>430200</v>
      </c>
      <c r="J55" s="37">
        <f>I55</f>
        <v>430200</v>
      </c>
      <c r="K55" s="68"/>
      <c r="L55" s="24"/>
      <c r="M55" s="69"/>
      <c r="N55" s="22" t="s">
        <v>155</v>
      </c>
      <c r="O55" s="70"/>
    </row>
    <row r="56" spans="1:15" ht="15" customHeight="1" x14ac:dyDescent="0.25">
      <c r="B56" s="63">
        <v>8</v>
      </c>
      <c r="C56" s="43" t="s">
        <v>243</v>
      </c>
      <c r="D56" s="71" t="s">
        <v>1438</v>
      </c>
      <c r="E56" s="71" t="s">
        <v>1439</v>
      </c>
      <c r="F56" s="70" t="s">
        <v>326</v>
      </c>
      <c r="G56" s="66">
        <v>46193</v>
      </c>
      <c r="H56" s="72"/>
      <c r="I56" s="22">
        <v>23528</v>
      </c>
      <c r="J56" s="37"/>
      <c r="K56" s="68"/>
      <c r="L56" s="24">
        <f>I56</f>
        <v>23528</v>
      </c>
      <c r="M56" s="69"/>
      <c r="N56" s="22" t="s">
        <v>155</v>
      </c>
      <c r="O56" s="70"/>
    </row>
    <row r="57" spans="1:15" ht="15.75" x14ac:dyDescent="0.25">
      <c r="B57" s="169" t="s">
        <v>25</v>
      </c>
      <c r="C57" s="170"/>
      <c r="D57" s="170"/>
      <c r="E57" s="170"/>
      <c r="F57" s="170"/>
      <c r="G57" s="170"/>
      <c r="H57" s="170"/>
      <c r="I57" s="171"/>
      <c r="J57" s="25">
        <f>SUM(J49:J56)</f>
        <v>1631400</v>
      </c>
      <c r="K57" s="74">
        <f>SUM(K49:K56)</f>
        <v>0</v>
      </c>
      <c r="L57" s="60">
        <f>SUM(L49:L56)</f>
        <v>573128</v>
      </c>
      <c r="M57" s="60">
        <f>SUM(M49:M56)</f>
        <v>0</v>
      </c>
      <c r="N57" s="39"/>
      <c r="O57" s="75">
        <f>SUM(J57+K57+L57+M57)</f>
        <v>2204528</v>
      </c>
    </row>
    <row r="58" spans="1:15" ht="15.75" x14ac:dyDescent="0.25">
      <c r="B58" s="172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</row>
    <row r="59" spans="1:15" x14ac:dyDescent="0.25">
      <c r="B59" s="44">
        <v>1</v>
      </c>
      <c r="C59" s="12"/>
      <c r="D59" s="71"/>
      <c r="E59" s="71"/>
      <c r="F59" s="70"/>
      <c r="G59" s="66"/>
      <c r="H59" s="72"/>
      <c r="I59" s="22"/>
      <c r="J59" s="73"/>
      <c r="K59" s="68"/>
      <c r="L59" s="69"/>
      <c r="M59" s="69"/>
      <c r="N59" s="22"/>
      <c r="O59" s="70"/>
    </row>
    <row r="60" spans="1:15" x14ac:dyDescent="0.25">
      <c r="B60" s="44">
        <v>2</v>
      </c>
      <c r="C60" s="12"/>
      <c r="D60" s="71"/>
      <c r="E60" s="71"/>
      <c r="F60" s="70"/>
      <c r="G60" s="66"/>
      <c r="H60" s="72"/>
      <c r="I60" s="22"/>
      <c r="J60" s="73"/>
      <c r="K60" s="68"/>
      <c r="L60" s="24"/>
      <c r="M60" s="24"/>
      <c r="N60" s="22"/>
      <c r="O60" s="70"/>
    </row>
    <row r="61" spans="1:15" ht="15.75" x14ac:dyDescent="0.25">
      <c r="A61" t="s">
        <v>3</v>
      </c>
      <c r="B61" s="169" t="s">
        <v>25</v>
      </c>
      <c r="C61" s="170"/>
      <c r="D61" s="170"/>
      <c r="E61" s="170"/>
      <c r="F61" s="170"/>
      <c r="G61" s="170"/>
      <c r="H61" s="170"/>
      <c r="I61" s="171"/>
      <c r="J61" s="76">
        <f>SUM(J59:J60)</f>
        <v>0</v>
      </c>
      <c r="K61" s="74">
        <f>SUM(K59:K60)</f>
        <v>0</v>
      </c>
      <c r="L61" s="60">
        <f>SUM(L59:L60)</f>
        <v>0</v>
      </c>
      <c r="M61" s="60">
        <f>SUM(M59:M60)</f>
        <v>0</v>
      </c>
      <c r="N61" s="39"/>
      <c r="O61" s="75">
        <f>SUM(J61+K61+L61+M61)</f>
        <v>0</v>
      </c>
    </row>
    <row r="62" spans="1:15" x14ac:dyDescent="0.25">
      <c r="D62" s="57"/>
      <c r="I62" s="58"/>
      <c r="J62" s="58"/>
    </row>
    <row r="63" spans="1:15" ht="15.75" x14ac:dyDescent="0.25">
      <c r="D63" s="57"/>
      <c r="G63" s="162" t="s">
        <v>1646</v>
      </c>
      <c r="H63" s="162"/>
      <c r="I63" s="163"/>
      <c r="J63" s="25">
        <f>SUM(J61+J57)</f>
        <v>1631400</v>
      </c>
      <c r="K63" s="74">
        <f>SUM(K61+K57)</f>
        <v>0</v>
      </c>
      <c r="L63" s="60">
        <f>SUM(L61+L57)</f>
        <v>573128</v>
      </c>
      <c r="M63" s="60">
        <f>SUM(M61+M57)</f>
        <v>0</v>
      </c>
      <c r="N63" s="39"/>
      <c r="O63" s="77">
        <f>SUM(J63+K63+L63+M63)</f>
        <v>2204528</v>
      </c>
    </row>
    <row r="64" spans="1:15" ht="15.75" x14ac:dyDescent="0.25">
      <c r="D64" s="57"/>
      <c r="H64" s="41"/>
      <c r="I64" s="41"/>
      <c r="J64" s="41"/>
      <c r="K64" s="78"/>
      <c r="L64" s="78"/>
      <c r="M64" s="78"/>
      <c r="N64" s="79"/>
      <c r="O64" s="80"/>
    </row>
    <row r="65" spans="4:15" ht="15.75" x14ac:dyDescent="0.25">
      <c r="D65" s="57"/>
      <c r="H65" s="174" t="s">
        <v>27</v>
      </c>
      <c r="I65" s="175"/>
      <c r="J65" s="180" t="s">
        <v>14</v>
      </c>
      <c r="K65" s="180"/>
      <c r="L65" s="181" t="s">
        <v>15</v>
      </c>
      <c r="M65" s="181"/>
      <c r="N65" s="70"/>
      <c r="O65" s="182"/>
    </row>
    <row r="66" spans="4:15" ht="15.75" x14ac:dyDescent="0.25">
      <c r="D66" s="57"/>
      <c r="H66" s="176"/>
      <c r="I66" s="177"/>
      <c r="J66" s="6" t="s">
        <v>17</v>
      </c>
      <c r="K66" s="81" t="s">
        <v>18</v>
      </c>
      <c r="L66" s="82" t="s">
        <v>17</v>
      </c>
      <c r="M66" s="82" t="s">
        <v>18</v>
      </c>
      <c r="N66" s="70"/>
      <c r="O66" s="182"/>
    </row>
    <row r="67" spans="4:15" ht="15.75" x14ac:dyDescent="0.25">
      <c r="D67" s="57"/>
      <c r="H67" s="178"/>
      <c r="I67" s="179"/>
      <c r="J67" s="74">
        <f>SUM(J43,J63)</f>
        <v>10453200</v>
      </c>
      <c r="K67" s="74">
        <f>SUM(K63+K43)</f>
        <v>0</v>
      </c>
      <c r="L67" s="60">
        <f>SUM(L63+L43)</f>
        <v>6152844</v>
      </c>
      <c r="M67" s="60">
        <f>SUM(M63+M43)</f>
        <v>0</v>
      </c>
      <c r="N67" s="39"/>
      <c r="O67" s="182"/>
    </row>
    <row r="68" spans="4:15" x14ac:dyDescent="0.25">
      <c r="D68" s="57"/>
      <c r="I68" s="58"/>
      <c r="J68" s="58"/>
    </row>
    <row r="69" spans="4:15" ht="18.75" x14ac:dyDescent="0.3">
      <c r="D69" s="57"/>
      <c r="H69" s="183"/>
      <c r="I69" s="183"/>
      <c r="J69" s="83"/>
      <c r="L69" s="184" t="s">
        <v>28</v>
      </c>
      <c r="M69" s="185"/>
      <c r="N69" s="84">
        <f>SUM(J67+L67)</f>
        <v>16606044</v>
      </c>
      <c r="O69" s="186">
        <f>SUM(N69+N70)</f>
        <v>16606044</v>
      </c>
    </row>
    <row r="70" spans="4:15" ht="18.75" x14ac:dyDescent="0.3">
      <c r="D70" s="57"/>
      <c r="H70" s="183"/>
      <c r="I70" s="183"/>
      <c r="J70" s="83"/>
      <c r="L70" s="184" t="s">
        <v>29</v>
      </c>
      <c r="M70" s="185"/>
      <c r="N70" s="84">
        <f>SUM(K67+M67)</f>
        <v>0</v>
      </c>
      <c r="O70" s="187"/>
    </row>
    <row r="71" spans="4:15" ht="18.75" x14ac:dyDescent="0.3">
      <c r="D71" s="57"/>
      <c r="H71" s="168"/>
      <c r="I71" s="168"/>
      <c r="J71" s="85"/>
      <c r="K71" s="86"/>
    </row>
    <row r="72" spans="4:15" x14ac:dyDescent="0.25">
      <c r="D72" s="2" t="s">
        <v>30</v>
      </c>
      <c r="E72" s="1"/>
      <c r="F72" s="1"/>
      <c r="G72" s="1"/>
      <c r="H72" s="1"/>
      <c r="I72" s="1"/>
      <c r="J72" s="1"/>
      <c r="K72" s="1"/>
    </row>
    <row r="73" spans="4:15" x14ac:dyDescent="0.25">
      <c r="D73" s="2"/>
      <c r="E73" s="1"/>
      <c r="F73" s="1"/>
      <c r="G73" s="1"/>
      <c r="H73" s="1"/>
      <c r="I73" s="1"/>
      <c r="J73" s="1"/>
      <c r="K73" s="1"/>
    </row>
    <row r="74" spans="4:15" x14ac:dyDescent="0.25">
      <c r="D74" s="3" t="s">
        <v>31</v>
      </c>
      <c r="E74" s="3"/>
      <c r="F74" s="3" t="s">
        <v>32</v>
      </c>
      <c r="G74" s="3"/>
      <c r="H74" s="3" t="s">
        <v>33</v>
      </c>
      <c r="I74" s="3"/>
      <c r="J74" s="3" t="s">
        <v>34</v>
      </c>
      <c r="K74" s="3"/>
    </row>
    <row r="75" spans="4:15" x14ac:dyDescent="0.25">
      <c r="D75" s="3"/>
      <c r="E75" s="3"/>
      <c r="F75" s="3"/>
      <c r="G75" s="3"/>
      <c r="H75" s="3"/>
      <c r="I75" s="3"/>
      <c r="J75" s="3"/>
      <c r="K75" s="3"/>
    </row>
    <row r="76" spans="4:15" x14ac:dyDescent="0.25">
      <c r="D76" s="3"/>
      <c r="E76" s="3"/>
      <c r="F76" s="3"/>
      <c r="G76" s="3"/>
      <c r="H76" s="3"/>
      <c r="I76" s="3"/>
      <c r="J76" s="3"/>
      <c r="K76" s="3"/>
    </row>
    <row r="77" spans="4:15" x14ac:dyDescent="0.25">
      <c r="D77" s="3"/>
      <c r="E77" s="3"/>
      <c r="F77" s="3"/>
      <c r="G77" s="3"/>
      <c r="H77" s="3"/>
      <c r="I77" s="3"/>
      <c r="J77" s="3"/>
      <c r="K77" s="3"/>
    </row>
    <row r="78" spans="4:15" x14ac:dyDescent="0.25">
      <c r="D78" s="3" t="s">
        <v>35</v>
      </c>
      <c r="E78" s="3"/>
      <c r="F78" s="3" t="s">
        <v>36</v>
      </c>
      <c r="G78" s="3"/>
      <c r="H78" s="3" t="s">
        <v>36</v>
      </c>
      <c r="I78" s="3"/>
      <c r="J78" s="3" t="s">
        <v>37</v>
      </c>
      <c r="K78" s="3"/>
    </row>
    <row r="79" spans="4:15" x14ac:dyDescent="0.25">
      <c r="D79" s="57"/>
    </row>
    <row r="80" spans="4:15" x14ac:dyDescent="0.25">
      <c r="D80" s="57"/>
    </row>
    <row r="81" spans="4:4" x14ac:dyDescent="0.25">
      <c r="D81" s="57"/>
    </row>
    <row r="82" spans="4:4" x14ac:dyDescent="0.25">
      <c r="D82" s="57"/>
    </row>
    <row r="83" spans="4:4" x14ac:dyDescent="0.25">
      <c r="D83" s="57"/>
    </row>
  </sheetData>
  <mergeCells count="48">
    <mergeCell ref="B17:I17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46:G47"/>
    <mergeCell ref="B18:O18"/>
    <mergeCell ref="B28:I28"/>
    <mergeCell ref="B29:O29"/>
    <mergeCell ref="B40:I40"/>
    <mergeCell ref="G43:I43"/>
    <mergeCell ref="B45:D45"/>
    <mergeCell ref="B46:B47"/>
    <mergeCell ref="C46:C47"/>
    <mergeCell ref="D46:D47"/>
    <mergeCell ref="E46:E47"/>
    <mergeCell ref="F46:F47"/>
    <mergeCell ref="H46:H47"/>
    <mergeCell ref="I46:I47"/>
    <mergeCell ref="J46:N46"/>
    <mergeCell ref="O46:O47"/>
    <mergeCell ref="G63:I63"/>
    <mergeCell ref="J47:K47"/>
    <mergeCell ref="L47:M47"/>
    <mergeCell ref="H71:I71"/>
    <mergeCell ref="B57:I57"/>
    <mergeCell ref="B58:O58"/>
    <mergeCell ref="B61:I61"/>
    <mergeCell ref="H65:I67"/>
    <mergeCell ref="J65:K65"/>
    <mergeCell ref="L65:M65"/>
    <mergeCell ref="O65:O67"/>
    <mergeCell ref="H69:I69"/>
    <mergeCell ref="L69:M69"/>
    <mergeCell ref="O69:O70"/>
    <mergeCell ref="H70:I70"/>
    <mergeCell ref="L70:M70"/>
  </mergeCells>
  <pageMargins left="0" right="0" top="0" bottom="0" header="0" footer="0"/>
  <pageSetup paperSize="9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46B4C-6B08-447A-A5FE-E2F869B2AE2A}">
  <dimension ref="A2:Q86"/>
  <sheetViews>
    <sheetView topLeftCell="E54" workbookViewId="0">
      <selection activeCell="G66" sqref="G66:I66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1442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1443</v>
      </c>
      <c r="E9" s="14" t="s">
        <v>1444</v>
      </c>
      <c r="F9" s="15" t="s">
        <v>1445</v>
      </c>
      <c r="G9" s="16">
        <v>46168</v>
      </c>
      <c r="H9" s="16">
        <v>46181</v>
      </c>
      <c r="I9" s="17">
        <v>860400</v>
      </c>
      <c r="J9" s="18">
        <f>I9</f>
        <v>860400</v>
      </c>
      <c r="K9" s="19"/>
      <c r="L9" s="20"/>
      <c r="M9" s="20"/>
      <c r="N9" s="22" t="s">
        <v>155</v>
      </c>
      <c r="O9" s="22"/>
    </row>
    <row r="10" spans="2:17" x14ac:dyDescent="0.25">
      <c r="B10" s="11">
        <v>2</v>
      </c>
      <c r="C10" s="12"/>
      <c r="D10" s="13" t="s">
        <v>1446</v>
      </c>
      <c r="E10" s="14" t="s">
        <v>1447</v>
      </c>
      <c r="F10" s="15" t="s">
        <v>1448</v>
      </c>
      <c r="G10" s="16">
        <v>46176</v>
      </c>
      <c r="H10" s="16">
        <v>46189</v>
      </c>
      <c r="I10" s="23">
        <v>328700</v>
      </c>
      <c r="J10" s="18">
        <v>322800</v>
      </c>
      <c r="K10" s="19"/>
      <c r="L10" s="24"/>
      <c r="M10" s="24"/>
      <c r="N10" s="22" t="s">
        <v>158</v>
      </c>
      <c r="O10" s="22"/>
    </row>
    <row r="11" spans="2:17" x14ac:dyDescent="0.25">
      <c r="B11" s="11">
        <v>3</v>
      </c>
      <c r="C11" s="12"/>
      <c r="D11" s="13" t="s">
        <v>1449</v>
      </c>
      <c r="E11" s="14" t="s">
        <v>638</v>
      </c>
      <c r="F11" s="15" t="s">
        <v>639</v>
      </c>
      <c r="G11" s="16">
        <v>46182</v>
      </c>
      <c r="H11" s="16">
        <v>46195</v>
      </c>
      <c r="I11" s="23">
        <v>430200</v>
      </c>
      <c r="J11" s="18">
        <v>200000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1450</v>
      </c>
      <c r="E12" s="14" t="s">
        <v>1451</v>
      </c>
      <c r="F12" s="15" t="s">
        <v>641</v>
      </c>
      <c r="G12" s="16">
        <v>46182</v>
      </c>
      <c r="H12" s="16">
        <v>46195</v>
      </c>
      <c r="I12" s="23">
        <v>215100</v>
      </c>
      <c r="J12" s="18">
        <f t="shared" ref="J12:J15" si="0">I12</f>
        <v>215100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1452</v>
      </c>
      <c r="E13" s="14" t="s">
        <v>1453</v>
      </c>
      <c r="F13" s="15" t="s">
        <v>644</v>
      </c>
      <c r="G13" s="16">
        <v>46182</v>
      </c>
      <c r="H13" s="16">
        <v>46195</v>
      </c>
      <c r="I13" s="23">
        <v>215100</v>
      </c>
      <c r="J13" s="18">
        <f t="shared" si="0"/>
        <v>215100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1454</v>
      </c>
      <c r="E14" s="14" t="s">
        <v>165</v>
      </c>
      <c r="F14" s="15" t="s">
        <v>711</v>
      </c>
      <c r="G14" s="16">
        <v>46182</v>
      </c>
      <c r="H14" s="16">
        <v>46195</v>
      </c>
      <c r="I14" s="23">
        <v>657400</v>
      </c>
      <c r="J14" s="18">
        <f t="shared" si="0"/>
        <v>657400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1455</v>
      </c>
      <c r="E15" s="14" t="s">
        <v>646</v>
      </c>
      <c r="F15" s="15" t="s">
        <v>711</v>
      </c>
      <c r="G15" s="16">
        <v>46182</v>
      </c>
      <c r="H15" s="16">
        <v>46195</v>
      </c>
      <c r="I15" s="23">
        <v>215100</v>
      </c>
      <c r="J15" s="18">
        <f t="shared" si="0"/>
        <v>215100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1456</v>
      </c>
      <c r="E16" s="14" t="s">
        <v>1444</v>
      </c>
      <c r="F16" s="15" t="s">
        <v>1445</v>
      </c>
      <c r="G16" s="16">
        <v>46168</v>
      </c>
      <c r="H16" s="16">
        <v>46181</v>
      </c>
      <c r="I16" s="23">
        <v>240000</v>
      </c>
      <c r="J16" s="18"/>
      <c r="K16" s="19"/>
      <c r="L16" s="24">
        <f>I16</f>
        <v>240000</v>
      </c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1457</v>
      </c>
      <c r="E17" s="14" t="s">
        <v>1451</v>
      </c>
      <c r="F17" s="15" t="s">
        <v>641</v>
      </c>
      <c r="G17" s="16">
        <v>46182</v>
      </c>
      <c r="H17" s="16">
        <v>46195</v>
      </c>
      <c r="I17" s="23">
        <v>303280</v>
      </c>
      <c r="J17" s="18"/>
      <c r="K17" s="19"/>
      <c r="L17" s="24">
        <f t="shared" ref="L17:L18" si="1">I17</f>
        <v>303280</v>
      </c>
      <c r="M17" s="24"/>
      <c r="N17" s="22" t="s">
        <v>155</v>
      </c>
      <c r="O17" s="22"/>
    </row>
    <row r="18" spans="2:15" x14ac:dyDescent="0.25">
      <c r="B18" s="11">
        <v>10</v>
      </c>
      <c r="C18" s="12"/>
      <c r="D18" s="13" t="s">
        <v>1458</v>
      </c>
      <c r="E18" s="14" t="s">
        <v>643</v>
      </c>
      <c r="F18" s="15" t="s">
        <v>644</v>
      </c>
      <c r="G18" s="16">
        <v>46182</v>
      </c>
      <c r="H18" s="16">
        <v>46195</v>
      </c>
      <c r="I18" s="23">
        <v>68556</v>
      </c>
      <c r="J18" s="18"/>
      <c r="K18" s="19"/>
      <c r="L18" s="24">
        <f t="shared" si="1"/>
        <v>68556</v>
      </c>
      <c r="M18" s="24"/>
      <c r="N18" s="22" t="s">
        <v>155</v>
      </c>
      <c r="O18" s="22"/>
    </row>
    <row r="19" spans="2:15" ht="15.75" x14ac:dyDescent="0.25">
      <c r="B19" s="169" t="s">
        <v>13</v>
      </c>
      <c r="C19" s="170"/>
      <c r="D19" s="170"/>
      <c r="E19" s="170"/>
      <c r="F19" s="170"/>
      <c r="G19" s="170"/>
      <c r="H19" s="170"/>
      <c r="I19" s="171"/>
      <c r="J19" s="25">
        <f>SUM(J9:J18)</f>
        <v>2685900</v>
      </c>
      <c r="K19" s="26">
        <f>SUM(K9:K18)</f>
        <v>0</v>
      </c>
      <c r="L19" s="27">
        <f>SUM(L9:L18)</f>
        <v>611836</v>
      </c>
      <c r="M19" s="28">
        <f>SUM(M9:M18)</f>
        <v>0</v>
      </c>
      <c r="N19" s="29"/>
      <c r="O19" s="30">
        <f>SUM(J19+K19+L19+M19)</f>
        <v>3297736</v>
      </c>
    </row>
    <row r="20" spans="2:15" ht="15.75" x14ac:dyDescent="0.25">
      <c r="B20" s="190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</row>
    <row r="21" spans="2:15" x14ac:dyDescent="0.25">
      <c r="B21" s="11">
        <v>1</v>
      </c>
      <c r="C21" s="31" t="s">
        <v>20</v>
      </c>
      <c r="D21" s="13" t="s">
        <v>1459</v>
      </c>
      <c r="E21" s="32" t="s">
        <v>1460</v>
      </c>
      <c r="F21" s="33" t="s">
        <v>90</v>
      </c>
      <c r="G21" s="34">
        <v>46165</v>
      </c>
      <c r="H21" s="35">
        <v>46178</v>
      </c>
      <c r="I21" s="36">
        <v>1302700</v>
      </c>
      <c r="J21" s="37">
        <f>I21</f>
        <v>1302700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2</v>
      </c>
      <c r="C22" s="31"/>
      <c r="D22" s="13" t="s">
        <v>1461</v>
      </c>
      <c r="E22" s="32" t="s">
        <v>589</v>
      </c>
      <c r="F22" s="33" t="s">
        <v>90</v>
      </c>
      <c r="G22" s="34">
        <v>46165</v>
      </c>
      <c r="H22" s="35">
        <v>46178</v>
      </c>
      <c r="I22" s="36">
        <v>215100</v>
      </c>
      <c r="J22" s="37">
        <f t="shared" ref="J22:J27" si="2">I22</f>
        <v>215100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3</v>
      </c>
      <c r="C23" s="31"/>
      <c r="D23" s="13" t="s">
        <v>1413</v>
      </c>
      <c r="E23" s="32" t="s">
        <v>578</v>
      </c>
      <c r="F23" s="33" t="s">
        <v>576</v>
      </c>
      <c r="G23" s="34">
        <v>46181</v>
      </c>
      <c r="H23" s="35">
        <v>46194</v>
      </c>
      <c r="I23" s="36">
        <v>130200</v>
      </c>
      <c r="J23" s="37">
        <f t="shared" si="2"/>
        <v>130200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4</v>
      </c>
      <c r="C24" s="31"/>
      <c r="D24" s="13" t="s">
        <v>1462</v>
      </c>
      <c r="E24" s="32" t="s">
        <v>655</v>
      </c>
      <c r="F24" s="33" t="s">
        <v>656</v>
      </c>
      <c r="G24" s="34">
        <v>46182</v>
      </c>
      <c r="H24" s="35">
        <v>46195</v>
      </c>
      <c r="I24" s="36">
        <v>1075500</v>
      </c>
      <c r="J24" s="37">
        <f t="shared" si="2"/>
        <v>1075500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5</v>
      </c>
      <c r="C25" s="31"/>
      <c r="D25" s="13" t="s">
        <v>1463</v>
      </c>
      <c r="E25" s="32" t="s">
        <v>1464</v>
      </c>
      <c r="F25" s="33" t="s">
        <v>1465</v>
      </c>
      <c r="G25" s="34">
        <v>46182</v>
      </c>
      <c r="H25" s="35">
        <v>46195</v>
      </c>
      <c r="I25" s="36">
        <v>645300</v>
      </c>
      <c r="J25" s="37">
        <v>250000</v>
      </c>
      <c r="K25" s="19"/>
      <c r="L25" s="24"/>
      <c r="M25" s="24"/>
      <c r="N25" s="22" t="s">
        <v>158</v>
      </c>
      <c r="O25" s="22"/>
    </row>
    <row r="26" spans="2:15" x14ac:dyDescent="0.25">
      <c r="B26" s="11">
        <v>6</v>
      </c>
      <c r="C26" s="31"/>
      <c r="D26" s="13" t="s">
        <v>1466</v>
      </c>
      <c r="E26" s="32" t="s">
        <v>659</v>
      </c>
      <c r="F26" s="33" t="s">
        <v>657</v>
      </c>
      <c r="G26" s="34">
        <v>46182</v>
      </c>
      <c r="H26" s="35">
        <v>46195</v>
      </c>
      <c r="I26" s="36">
        <v>215100</v>
      </c>
      <c r="J26" s="37">
        <f t="shared" si="2"/>
        <v>215100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7</v>
      </c>
      <c r="C27" s="31"/>
      <c r="D27" s="13" t="s">
        <v>1467</v>
      </c>
      <c r="E27" s="32" t="s">
        <v>673</v>
      </c>
      <c r="F27" s="33" t="s">
        <v>674</v>
      </c>
      <c r="G27" s="34">
        <v>46182</v>
      </c>
      <c r="H27" s="35">
        <v>46195</v>
      </c>
      <c r="I27" s="36">
        <v>430200</v>
      </c>
      <c r="J27" s="37">
        <f t="shared" si="2"/>
        <v>430200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8</v>
      </c>
      <c r="C28" s="31"/>
      <c r="D28" s="13" t="s">
        <v>1468</v>
      </c>
      <c r="E28" s="32" t="s">
        <v>1469</v>
      </c>
      <c r="F28" s="33" t="s">
        <v>1470</v>
      </c>
      <c r="G28" s="34">
        <v>46167</v>
      </c>
      <c r="H28" s="35">
        <v>46180</v>
      </c>
      <c r="I28" s="36">
        <v>685560</v>
      </c>
      <c r="J28" s="37"/>
      <c r="K28" s="19"/>
      <c r="L28" s="24">
        <f>I28</f>
        <v>685560</v>
      </c>
      <c r="M28" s="24"/>
      <c r="N28" s="22" t="s">
        <v>155</v>
      </c>
      <c r="O28" s="22"/>
    </row>
    <row r="29" spans="2:15" x14ac:dyDescent="0.25">
      <c r="B29" s="11">
        <v>9</v>
      </c>
      <c r="C29" s="31"/>
      <c r="D29" s="13" t="s">
        <v>1471</v>
      </c>
      <c r="E29" s="32" t="s">
        <v>1472</v>
      </c>
      <c r="F29" s="33" t="s">
        <v>576</v>
      </c>
      <c r="G29" s="34">
        <v>46167</v>
      </c>
      <c r="H29" s="35">
        <v>46180</v>
      </c>
      <c r="I29" s="36">
        <v>481776</v>
      </c>
      <c r="J29" s="37"/>
      <c r="K29" s="19"/>
      <c r="L29" s="24">
        <f t="shared" ref="L29:L34" si="3">I29</f>
        <v>481776</v>
      </c>
      <c r="M29" s="24"/>
      <c r="N29" s="22" t="s">
        <v>155</v>
      </c>
      <c r="O29" s="22"/>
    </row>
    <row r="30" spans="2:15" x14ac:dyDescent="0.25">
      <c r="B30" s="11">
        <v>10</v>
      </c>
      <c r="C30" s="31"/>
      <c r="D30" s="13" t="s">
        <v>1473</v>
      </c>
      <c r="E30" s="32" t="s">
        <v>589</v>
      </c>
      <c r="F30" s="33" t="s">
        <v>90</v>
      </c>
      <c r="G30" s="34">
        <v>46179</v>
      </c>
      <c r="H30" s="35">
        <v>46192</v>
      </c>
      <c r="I30" s="36">
        <v>217500</v>
      </c>
      <c r="J30" s="37"/>
      <c r="K30" s="19"/>
      <c r="L30" s="24">
        <f t="shared" si="3"/>
        <v>217500</v>
      </c>
      <c r="M30" s="24"/>
      <c r="N30" s="22" t="s">
        <v>155</v>
      </c>
      <c r="O30" s="22"/>
    </row>
    <row r="31" spans="2:15" x14ac:dyDescent="0.25">
      <c r="B31" s="11">
        <v>11</v>
      </c>
      <c r="C31" s="31"/>
      <c r="D31" s="13" t="s">
        <v>1474</v>
      </c>
      <c r="E31" s="32" t="s">
        <v>661</v>
      </c>
      <c r="F31" s="33" t="s">
        <v>662</v>
      </c>
      <c r="G31" s="34">
        <v>46182</v>
      </c>
      <c r="H31" s="35">
        <v>46195</v>
      </c>
      <c r="I31" s="36">
        <v>371112</v>
      </c>
      <c r="J31" s="37"/>
      <c r="K31" s="19"/>
      <c r="L31" s="24">
        <f t="shared" si="3"/>
        <v>371112</v>
      </c>
      <c r="M31" s="24"/>
      <c r="N31" s="22" t="s">
        <v>155</v>
      </c>
      <c r="O31" s="22"/>
    </row>
    <row r="32" spans="2:15" x14ac:dyDescent="0.25">
      <c r="B32" s="11">
        <v>12</v>
      </c>
      <c r="C32" s="31"/>
      <c r="D32" s="13" t="s">
        <v>1475</v>
      </c>
      <c r="E32" s="32" t="s">
        <v>673</v>
      </c>
      <c r="F32" s="33" t="s">
        <v>674</v>
      </c>
      <c r="G32" s="34">
        <v>46182</v>
      </c>
      <c r="H32" s="35">
        <v>46195</v>
      </c>
      <c r="I32" s="36">
        <v>68556</v>
      </c>
      <c r="J32" s="37"/>
      <c r="K32" s="19"/>
      <c r="L32" s="24">
        <f t="shared" si="3"/>
        <v>68556</v>
      </c>
      <c r="M32" s="24"/>
      <c r="N32" s="22" t="s">
        <v>155</v>
      </c>
      <c r="O32" s="22"/>
    </row>
    <row r="33" spans="2:15" x14ac:dyDescent="0.25">
      <c r="B33" s="11">
        <v>13</v>
      </c>
      <c r="C33" s="31"/>
      <c r="D33" s="13" t="s">
        <v>1476</v>
      </c>
      <c r="E33" s="32" t="s">
        <v>671</v>
      </c>
      <c r="F33" s="33" t="s">
        <v>662</v>
      </c>
      <c r="G33" s="34">
        <v>46182</v>
      </c>
      <c r="H33" s="35">
        <v>46195</v>
      </c>
      <c r="I33" s="36">
        <v>1140000</v>
      </c>
      <c r="J33" s="37"/>
      <c r="K33" s="19"/>
      <c r="L33" s="24">
        <f t="shared" si="3"/>
        <v>1140000</v>
      </c>
      <c r="M33" s="24"/>
      <c r="N33" s="22" t="s">
        <v>155</v>
      </c>
      <c r="O33" s="22"/>
    </row>
    <row r="34" spans="2:15" x14ac:dyDescent="0.25">
      <c r="B34" s="11">
        <v>14</v>
      </c>
      <c r="C34" s="31"/>
      <c r="D34" s="13" t="s">
        <v>1477</v>
      </c>
      <c r="E34" s="32" t="s">
        <v>1464</v>
      </c>
      <c r="F34" s="33" t="s">
        <v>1465</v>
      </c>
      <c r="G34" s="34">
        <v>46182</v>
      </c>
      <c r="H34" s="35">
        <v>46195</v>
      </c>
      <c r="I34" s="36">
        <v>80000</v>
      </c>
      <c r="J34" s="37"/>
      <c r="K34" s="19"/>
      <c r="L34" s="24">
        <f t="shared" si="3"/>
        <v>80000</v>
      </c>
      <c r="M34" s="24"/>
      <c r="N34" s="22" t="s">
        <v>155</v>
      </c>
      <c r="O34" s="22"/>
    </row>
    <row r="35" spans="2:15" ht="15.75" x14ac:dyDescent="0.25">
      <c r="B35" s="192" t="s">
        <v>13</v>
      </c>
      <c r="C35" s="193"/>
      <c r="D35" s="193"/>
      <c r="E35" s="193"/>
      <c r="F35" s="193"/>
      <c r="G35" s="193"/>
      <c r="H35" s="193"/>
      <c r="I35" s="194"/>
      <c r="J35" s="38">
        <f>SUM(J21:J34)</f>
        <v>3618800</v>
      </c>
      <c r="K35" s="26">
        <f>SUM(K21:K34)</f>
        <v>0</v>
      </c>
      <c r="L35" s="27">
        <f>SUM(L21:L34)</f>
        <v>3044504</v>
      </c>
      <c r="M35" s="27">
        <f>SUM(M21:M34)</f>
        <v>0</v>
      </c>
      <c r="N35" s="39"/>
      <c r="O35" s="40">
        <f>SUM(J35+K35+L35+M35)</f>
        <v>6663304</v>
      </c>
    </row>
    <row r="36" spans="2:15" ht="15.75" x14ac:dyDescent="0.25"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</row>
    <row r="37" spans="2:15" ht="15.75" x14ac:dyDescent="0.25">
      <c r="B37" s="42">
        <v>1</v>
      </c>
      <c r="C37" s="43" t="s">
        <v>21</v>
      </c>
      <c r="D37" s="44" t="s">
        <v>1421</v>
      </c>
      <c r="E37" s="45" t="s">
        <v>607</v>
      </c>
      <c r="F37" s="45" t="s">
        <v>608</v>
      </c>
      <c r="G37" s="46">
        <v>46181</v>
      </c>
      <c r="H37" s="46">
        <v>46194</v>
      </c>
      <c r="I37" s="47">
        <v>520800</v>
      </c>
      <c r="J37" s="48">
        <f>I37</f>
        <v>520800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2</v>
      </c>
      <c r="C38" s="43"/>
      <c r="D38" s="44" t="s">
        <v>1478</v>
      </c>
      <c r="E38" s="45" t="s">
        <v>43</v>
      </c>
      <c r="F38" s="45" t="s">
        <v>680</v>
      </c>
      <c r="G38" s="46">
        <v>46182</v>
      </c>
      <c r="H38" s="46">
        <v>46195</v>
      </c>
      <c r="I38" s="47">
        <v>872500</v>
      </c>
      <c r="J38" s="48">
        <f t="shared" ref="J38:J39" si="4">I38</f>
        <v>872500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3</v>
      </c>
      <c r="C39" s="43"/>
      <c r="D39" s="44" t="s">
        <v>1479</v>
      </c>
      <c r="E39" s="45" t="s">
        <v>677</v>
      </c>
      <c r="F39" s="45" t="s">
        <v>678</v>
      </c>
      <c r="G39" s="46">
        <v>46182</v>
      </c>
      <c r="H39" s="46">
        <v>46195</v>
      </c>
      <c r="I39" s="47">
        <v>872500</v>
      </c>
      <c r="J39" s="48">
        <f t="shared" si="4"/>
        <v>872500</v>
      </c>
      <c r="K39" s="49"/>
      <c r="L39" s="50"/>
      <c r="M39" s="50"/>
      <c r="N39" s="22" t="s">
        <v>155</v>
      </c>
      <c r="O39" s="42"/>
    </row>
    <row r="40" spans="2:15" ht="15.75" x14ac:dyDescent="0.25">
      <c r="B40" s="42">
        <v>4</v>
      </c>
      <c r="C40" s="43"/>
      <c r="D40" s="44" t="s">
        <v>1480</v>
      </c>
      <c r="E40" s="45" t="s">
        <v>677</v>
      </c>
      <c r="F40" s="45" t="s">
        <v>678</v>
      </c>
      <c r="G40" s="46">
        <v>46182</v>
      </c>
      <c r="H40" s="46">
        <v>46195</v>
      </c>
      <c r="I40" s="47">
        <v>276108</v>
      </c>
      <c r="J40" s="48"/>
      <c r="K40" s="49"/>
      <c r="L40" s="51">
        <f t="shared" ref="L40:L45" si="5">I40</f>
        <v>276108</v>
      </c>
      <c r="M40" s="50"/>
      <c r="N40" s="22" t="s">
        <v>155</v>
      </c>
      <c r="O40" s="42"/>
    </row>
    <row r="41" spans="2:15" ht="15.75" x14ac:dyDescent="0.25">
      <c r="B41" s="42">
        <v>5</v>
      </c>
      <c r="C41" s="43"/>
      <c r="D41" s="44" t="s">
        <v>1481</v>
      </c>
      <c r="E41" s="45" t="s">
        <v>1482</v>
      </c>
      <c r="F41" s="45" t="s">
        <v>678</v>
      </c>
      <c r="G41" s="46">
        <v>46182</v>
      </c>
      <c r="H41" s="46">
        <v>46195</v>
      </c>
      <c r="I41" s="47">
        <v>299556</v>
      </c>
      <c r="J41" s="48"/>
      <c r="K41" s="49"/>
      <c r="L41" s="51">
        <f t="shared" si="5"/>
        <v>299556</v>
      </c>
      <c r="M41" s="50"/>
      <c r="N41" s="22" t="s">
        <v>155</v>
      </c>
      <c r="O41" s="42"/>
    </row>
    <row r="42" spans="2:15" ht="15.75" x14ac:dyDescent="0.25">
      <c r="B42" s="42">
        <v>6</v>
      </c>
      <c r="C42" s="43"/>
      <c r="D42" s="44" t="s">
        <v>1483</v>
      </c>
      <c r="E42" s="45" t="s">
        <v>786</v>
      </c>
      <c r="F42" s="45" t="s">
        <v>784</v>
      </c>
      <c r="G42" s="46">
        <v>46182</v>
      </c>
      <c r="H42" s="46">
        <v>46195</v>
      </c>
      <c r="I42" s="47">
        <v>401780</v>
      </c>
      <c r="J42" s="48"/>
      <c r="K42" s="49"/>
      <c r="L42" s="51">
        <f t="shared" si="5"/>
        <v>401780</v>
      </c>
      <c r="M42" s="51"/>
      <c r="N42" s="22" t="s">
        <v>155</v>
      </c>
      <c r="O42" s="42"/>
    </row>
    <row r="43" spans="2:15" ht="15.75" x14ac:dyDescent="0.25">
      <c r="B43" s="42">
        <v>7</v>
      </c>
      <c r="C43" s="43"/>
      <c r="D43" s="44" t="s">
        <v>1484</v>
      </c>
      <c r="E43" s="45" t="s">
        <v>43</v>
      </c>
      <c r="F43" s="45" t="s">
        <v>680</v>
      </c>
      <c r="G43" s="46">
        <v>46182</v>
      </c>
      <c r="H43" s="46">
        <v>46195</v>
      </c>
      <c r="I43" s="47">
        <v>42000</v>
      </c>
      <c r="J43" s="48"/>
      <c r="K43" s="49"/>
      <c r="L43" s="51">
        <f t="shared" si="5"/>
        <v>42000</v>
      </c>
      <c r="M43" s="51"/>
      <c r="N43" s="22" t="s">
        <v>155</v>
      </c>
      <c r="O43" s="42"/>
    </row>
    <row r="44" spans="2:15" ht="15.75" x14ac:dyDescent="0.25">
      <c r="B44" s="42">
        <v>8</v>
      </c>
      <c r="C44" s="42"/>
      <c r="D44" s="44" t="s">
        <v>1485</v>
      </c>
      <c r="E44" s="45" t="s">
        <v>444</v>
      </c>
      <c r="F44" s="45" t="s">
        <v>1486</v>
      </c>
      <c r="G44" s="46">
        <v>46182</v>
      </c>
      <c r="H44" s="46">
        <v>46195</v>
      </c>
      <c r="I44" s="47">
        <v>231000</v>
      </c>
      <c r="J44" s="48"/>
      <c r="K44" s="49"/>
      <c r="L44" s="51">
        <f t="shared" si="5"/>
        <v>231000</v>
      </c>
      <c r="M44" s="51"/>
      <c r="N44" s="22" t="s">
        <v>155</v>
      </c>
      <c r="O44" s="42"/>
    </row>
    <row r="45" spans="2:15" ht="15.75" x14ac:dyDescent="0.25">
      <c r="B45" s="42">
        <v>9</v>
      </c>
      <c r="C45" s="42"/>
      <c r="D45" s="44" t="s">
        <v>1487</v>
      </c>
      <c r="E45" s="45" t="s">
        <v>106</v>
      </c>
      <c r="F45" s="45" t="s">
        <v>686</v>
      </c>
      <c r="G45" s="46">
        <v>46182</v>
      </c>
      <c r="H45" s="46">
        <v>46195</v>
      </c>
      <c r="I45" s="47">
        <v>217500</v>
      </c>
      <c r="J45" s="48"/>
      <c r="K45" s="49"/>
      <c r="L45" s="51">
        <f t="shared" si="5"/>
        <v>217500</v>
      </c>
      <c r="M45" s="51"/>
      <c r="N45" s="22" t="s">
        <v>155</v>
      </c>
      <c r="O45" s="42"/>
    </row>
    <row r="46" spans="2:15" ht="15.75" x14ac:dyDescent="0.25">
      <c r="B46" s="197" t="s">
        <v>13</v>
      </c>
      <c r="C46" s="198"/>
      <c r="D46" s="198"/>
      <c r="E46" s="198"/>
      <c r="F46" s="198"/>
      <c r="G46" s="198"/>
      <c r="H46" s="198"/>
      <c r="I46" s="199"/>
      <c r="J46" s="52">
        <f>SUM(J37:J45)</f>
        <v>2265800</v>
      </c>
      <c r="K46" s="53">
        <f>SUM(K37:K45)</f>
        <v>0</v>
      </c>
      <c r="L46" s="54">
        <f>SUM(L37:L45)</f>
        <v>1467944</v>
      </c>
      <c r="M46" s="54">
        <f>SUM(M37:M45)</f>
        <v>0</v>
      </c>
      <c r="N46" s="55"/>
      <c r="O46" s="56">
        <f>SUM(J46+K46+L46+M46)</f>
        <v>3733744</v>
      </c>
    </row>
    <row r="47" spans="2:15" x14ac:dyDescent="0.25">
      <c r="D47" s="57"/>
      <c r="I47" s="58"/>
      <c r="J47" s="58"/>
    </row>
    <row r="48" spans="2:15" x14ac:dyDescent="0.25">
      <c r="D48" s="57"/>
      <c r="I48" s="58"/>
      <c r="J48" s="58"/>
    </row>
    <row r="49" spans="1:15" ht="15.75" x14ac:dyDescent="0.25">
      <c r="D49" s="57"/>
      <c r="G49" s="200" t="s">
        <v>22</v>
      </c>
      <c r="H49" s="200"/>
      <c r="I49" s="200"/>
      <c r="J49" s="59">
        <f>SUM(J46+J35+J19)</f>
        <v>8570500</v>
      </c>
      <c r="K49" s="26">
        <f>SUM(K46+K35+K19)</f>
        <v>0</v>
      </c>
      <c r="L49" s="60">
        <f>SUM(L46+L35+L19)</f>
        <v>5124284</v>
      </c>
      <c r="M49" s="60">
        <f>SUM(M46+M35+M19)</f>
        <v>0</v>
      </c>
      <c r="N49" s="39"/>
      <c r="O49" s="30">
        <f>SUM(J49+K49+L49+M49)</f>
        <v>13694784</v>
      </c>
    </row>
    <row r="50" spans="1:15" x14ac:dyDescent="0.25">
      <c r="D50" s="57"/>
      <c r="I50" s="58"/>
      <c r="J50" s="58"/>
    </row>
    <row r="51" spans="1:15" x14ac:dyDescent="0.25">
      <c r="B51" s="201" t="s">
        <v>17</v>
      </c>
      <c r="C51" s="201"/>
      <c r="D51" s="201"/>
      <c r="I51" s="58"/>
      <c r="J51" s="58"/>
    </row>
    <row r="52" spans="1:15" ht="15.75" x14ac:dyDescent="0.25">
      <c r="B52" s="188" t="s">
        <v>4</v>
      </c>
      <c r="C52" s="202" t="s">
        <v>23</v>
      </c>
      <c r="D52" s="188" t="s">
        <v>6</v>
      </c>
      <c r="E52" s="188" t="s">
        <v>7</v>
      </c>
      <c r="F52" s="188" t="s">
        <v>8</v>
      </c>
      <c r="G52" s="188" t="s">
        <v>9</v>
      </c>
      <c r="H52" s="188" t="s">
        <v>10</v>
      </c>
      <c r="I52" s="202" t="s">
        <v>24</v>
      </c>
      <c r="J52" s="169" t="s">
        <v>12</v>
      </c>
      <c r="K52" s="170"/>
      <c r="L52" s="170"/>
      <c r="M52" s="170"/>
      <c r="N52" s="171"/>
      <c r="O52" s="204" t="s">
        <v>13</v>
      </c>
    </row>
    <row r="53" spans="1:15" ht="15.75" x14ac:dyDescent="0.25">
      <c r="B53" s="189"/>
      <c r="C53" s="203"/>
      <c r="D53" s="189"/>
      <c r="E53" s="189"/>
      <c r="F53" s="189"/>
      <c r="G53" s="189"/>
      <c r="H53" s="189"/>
      <c r="I53" s="203"/>
      <c r="J53" s="164" t="s">
        <v>14</v>
      </c>
      <c r="K53" s="165"/>
      <c r="L53" s="166" t="s">
        <v>15</v>
      </c>
      <c r="M53" s="167"/>
      <c r="N53" s="4" t="s">
        <v>16</v>
      </c>
      <c r="O53" s="205"/>
    </row>
    <row r="54" spans="1:15" ht="15.75" x14ac:dyDescent="0.25">
      <c r="B54" s="5"/>
      <c r="C54" s="61"/>
      <c r="D54" s="5"/>
      <c r="E54" s="5"/>
      <c r="F54" s="5"/>
      <c r="G54" s="5"/>
      <c r="H54" s="5"/>
      <c r="I54" s="61"/>
      <c r="J54" s="62" t="s">
        <v>17</v>
      </c>
      <c r="K54" s="6" t="s">
        <v>18</v>
      </c>
      <c r="L54" s="10" t="s">
        <v>17</v>
      </c>
      <c r="M54" s="10" t="s">
        <v>18</v>
      </c>
      <c r="N54" s="4"/>
      <c r="O54" s="7"/>
    </row>
    <row r="55" spans="1:15" ht="15" customHeight="1" x14ac:dyDescent="0.25">
      <c r="B55" s="63">
        <v>1</v>
      </c>
      <c r="C55" s="43" t="s">
        <v>1493</v>
      </c>
      <c r="D55" s="64" t="s">
        <v>1488</v>
      </c>
      <c r="E55" s="65" t="s">
        <v>693</v>
      </c>
      <c r="F55" s="65" t="s">
        <v>611</v>
      </c>
      <c r="G55" s="66">
        <v>46195</v>
      </c>
      <c r="H55" s="66"/>
      <c r="I55" s="67">
        <v>217656</v>
      </c>
      <c r="J55" s="37"/>
      <c r="K55" s="68"/>
      <c r="L55" s="159">
        <f>I55</f>
        <v>217656</v>
      </c>
      <c r="M55" s="69"/>
      <c r="N55" s="22" t="s">
        <v>155</v>
      </c>
      <c r="O55" s="70"/>
    </row>
    <row r="56" spans="1:15" ht="15" customHeight="1" x14ac:dyDescent="0.25">
      <c r="B56" s="63">
        <v>2</v>
      </c>
      <c r="C56" s="43" t="s">
        <v>1493</v>
      </c>
      <c r="D56" s="71" t="s">
        <v>1489</v>
      </c>
      <c r="E56" s="71" t="s">
        <v>689</v>
      </c>
      <c r="F56" s="70" t="s">
        <v>98</v>
      </c>
      <c r="G56" s="66">
        <v>46195</v>
      </c>
      <c r="H56" s="72"/>
      <c r="I56" s="22">
        <v>555500</v>
      </c>
      <c r="J56" s="37">
        <f>I56</f>
        <v>555500</v>
      </c>
      <c r="K56" s="68"/>
      <c r="L56" s="24"/>
      <c r="M56" s="69"/>
      <c r="N56" s="22" t="s">
        <v>155</v>
      </c>
      <c r="O56" s="70"/>
    </row>
    <row r="57" spans="1:15" ht="15" customHeight="1" x14ac:dyDescent="0.25">
      <c r="B57" s="63">
        <v>3</v>
      </c>
      <c r="C57" s="43" t="s">
        <v>1493</v>
      </c>
      <c r="D57" s="71" t="s">
        <v>1490</v>
      </c>
      <c r="E57" s="71" t="s">
        <v>143</v>
      </c>
      <c r="F57" s="70" t="s">
        <v>144</v>
      </c>
      <c r="G57" s="66">
        <v>46195</v>
      </c>
      <c r="H57" s="72"/>
      <c r="I57" s="22">
        <v>328700</v>
      </c>
      <c r="J57" s="37">
        <f t="shared" ref="J57:J58" si="6">I57</f>
        <v>328700</v>
      </c>
      <c r="K57" s="68"/>
      <c r="L57" s="24"/>
      <c r="M57" s="69"/>
      <c r="N57" s="22" t="s">
        <v>155</v>
      </c>
      <c r="O57" s="70"/>
    </row>
    <row r="58" spans="1:15" ht="15" customHeight="1" x14ac:dyDescent="0.25">
      <c r="B58" s="63">
        <v>4</v>
      </c>
      <c r="C58" s="43" t="s">
        <v>1493</v>
      </c>
      <c r="D58" s="71" t="s">
        <v>1491</v>
      </c>
      <c r="E58" s="71" t="s">
        <v>422</v>
      </c>
      <c r="F58" s="70" t="s">
        <v>423</v>
      </c>
      <c r="G58" s="66">
        <v>46195</v>
      </c>
      <c r="H58" s="72"/>
      <c r="I58" s="22">
        <v>870000</v>
      </c>
      <c r="J58" s="37">
        <f t="shared" si="6"/>
        <v>870000</v>
      </c>
      <c r="K58" s="68"/>
      <c r="L58" s="24"/>
      <c r="M58" s="69"/>
      <c r="N58" s="22" t="s">
        <v>155</v>
      </c>
      <c r="O58" s="70"/>
    </row>
    <row r="59" spans="1:15" ht="15" customHeight="1" x14ac:dyDescent="0.25">
      <c r="B59" s="63">
        <v>5</v>
      </c>
      <c r="C59" s="43" t="s">
        <v>1493</v>
      </c>
      <c r="D59" s="71" t="s">
        <v>1492</v>
      </c>
      <c r="E59" s="71" t="s">
        <v>899</v>
      </c>
      <c r="F59" s="70" t="s">
        <v>611</v>
      </c>
      <c r="G59" s="66">
        <v>46195</v>
      </c>
      <c r="H59" s="72"/>
      <c r="I59" s="22">
        <v>2838360</v>
      </c>
      <c r="J59" s="37"/>
      <c r="K59" s="68"/>
      <c r="L59" s="24">
        <f>I59</f>
        <v>2838360</v>
      </c>
      <c r="M59" s="69"/>
      <c r="N59" s="22" t="s">
        <v>155</v>
      </c>
      <c r="O59" s="70"/>
    </row>
    <row r="60" spans="1:15" ht="15.75" x14ac:dyDescent="0.25">
      <c r="B60" s="169" t="s">
        <v>25</v>
      </c>
      <c r="C60" s="170"/>
      <c r="D60" s="170"/>
      <c r="E60" s="170"/>
      <c r="F60" s="170"/>
      <c r="G60" s="170"/>
      <c r="H60" s="170"/>
      <c r="I60" s="171"/>
      <c r="J60" s="25">
        <f>SUM(J55:J59)</f>
        <v>1754200</v>
      </c>
      <c r="K60" s="74">
        <f>SUM(K55:K59)</f>
        <v>0</v>
      </c>
      <c r="L60" s="60">
        <f>SUM(L55:L59)</f>
        <v>3056016</v>
      </c>
      <c r="M60" s="60">
        <f>SUM(M55:M59)</f>
        <v>0</v>
      </c>
      <c r="N60" s="39"/>
      <c r="O60" s="75">
        <f>SUM(J60+K60+L60+M60)</f>
        <v>4810216</v>
      </c>
    </row>
    <row r="61" spans="1:15" ht="15.75" hidden="1" x14ac:dyDescent="0.25">
      <c r="B61" s="172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</row>
    <row r="62" spans="1:15" hidden="1" x14ac:dyDescent="0.25">
      <c r="B62" s="44">
        <v>1</v>
      </c>
      <c r="C62" s="12"/>
      <c r="D62" s="71"/>
      <c r="E62" s="71"/>
      <c r="F62" s="70"/>
      <c r="G62" s="66"/>
      <c r="H62" s="72"/>
      <c r="I62" s="22"/>
      <c r="J62" s="73"/>
      <c r="K62" s="68"/>
      <c r="L62" s="69"/>
      <c r="M62" s="69"/>
      <c r="N62" s="22"/>
      <c r="O62" s="70"/>
    </row>
    <row r="63" spans="1:15" hidden="1" x14ac:dyDescent="0.25">
      <c r="B63" s="44">
        <v>2</v>
      </c>
      <c r="C63" s="12"/>
      <c r="D63" s="71"/>
      <c r="E63" s="71"/>
      <c r="F63" s="70"/>
      <c r="G63" s="66"/>
      <c r="H63" s="72"/>
      <c r="I63" s="22"/>
      <c r="J63" s="73"/>
      <c r="K63" s="68"/>
      <c r="L63" s="24"/>
      <c r="M63" s="24"/>
      <c r="N63" s="22"/>
      <c r="O63" s="70"/>
    </row>
    <row r="64" spans="1:15" ht="15.75" hidden="1" x14ac:dyDescent="0.25">
      <c r="A64" t="s">
        <v>3</v>
      </c>
      <c r="B64" s="169" t="s">
        <v>25</v>
      </c>
      <c r="C64" s="170"/>
      <c r="D64" s="170"/>
      <c r="E64" s="170"/>
      <c r="F64" s="170"/>
      <c r="G64" s="170"/>
      <c r="H64" s="170"/>
      <c r="I64" s="171"/>
      <c r="J64" s="76">
        <f>SUM(J62:J63)</f>
        <v>0</v>
      </c>
      <c r="K64" s="74">
        <f>SUM(K62:K63)</f>
        <v>0</v>
      </c>
      <c r="L64" s="60">
        <f>SUM(L62:L63)</f>
        <v>0</v>
      </c>
      <c r="M64" s="60">
        <f>SUM(M62:M63)</f>
        <v>0</v>
      </c>
      <c r="N64" s="39"/>
      <c r="O64" s="75">
        <f>SUM(J64+K64+L64+M64)</f>
        <v>0</v>
      </c>
    </row>
    <row r="65" spans="4:15" x14ac:dyDescent="0.25">
      <c r="D65" s="57"/>
      <c r="I65" s="58"/>
      <c r="J65" s="58"/>
    </row>
    <row r="66" spans="4:15" ht="15.75" x14ac:dyDescent="0.25">
      <c r="D66" s="57"/>
      <c r="G66" s="162" t="s">
        <v>1646</v>
      </c>
      <c r="H66" s="162"/>
      <c r="I66" s="163"/>
      <c r="J66" s="25">
        <f>SUM(J64+J60)</f>
        <v>1754200</v>
      </c>
      <c r="K66" s="74">
        <f>SUM(K64+K60)</f>
        <v>0</v>
      </c>
      <c r="L66" s="60">
        <f>SUM(L64+L60)</f>
        <v>3056016</v>
      </c>
      <c r="M66" s="60">
        <f>SUM(M64+M60)</f>
        <v>0</v>
      </c>
      <c r="N66" s="39"/>
      <c r="O66" s="77">
        <f>SUM(J66+K66+L66+M66)</f>
        <v>4810216</v>
      </c>
    </row>
    <row r="67" spans="4:15" ht="15.75" x14ac:dyDescent="0.25">
      <c r="D67" s="57"/>
      <c r="H67" s="41"/>
      <c r="I67" s="41"/>
      <c r="J67" s="41"/>
      <c r="K67" s="78"/>
      <c r="L67" s="78"/>
      <c r="M67" s="78"/>
      <c r="N67" s="79"/>
      <c r="O67" s="80"/>
    </row>
    <row r="68" spans="4:15" ht="15.75" x14ac:dyDescent="0.25">
      <c r="D68" s="57"/>
      <c r="H68" s="174" t="s">
        <v>27</v>
      </c>
      <c r="I68" s="175"/>
      <c r="J68" s="180" t="s">
        <v>14</v>
      </c>
      <c r="K68" s="180"/>
      <c r="L68" s="181" t="s">
        <v>15</v>
      </c>
      <c r="M68" s="181"/>
      <c r="N68" s="70"/>
      <c r="O68" s="182"/>
    </row>
    <row r="69" spans="4:15" ht="15.75" x14ac:dyDescent="0.25">
      <c r="D69" s="57"/>
      <c r="H69" s="176"/>
      <c r="I69" s="177"/>
      <c r="J69" s="6" t="s">
        <v>17</v>
      </c>
      <c r="K69" s="81" t="s">
        <v>18</v>
      </c>
      <c r="L69" s="82" t="s">
        <v>17</v>
      </c>
      <c r="M69" s="82" t="s">
        <v>18</v>
      </c>
      <c r="N69" s="70"/>
      <c r="O69" s="182"/>
    </row>
    <row r="70" spans="4:15" ht="15.75" x14ac:dyDescent="0.25">
      <c r="D70" s="57"/>
      <c r="H70" s="178"/>
      <c r="I70" s="179"/>
      <c r="J70" s="74">
        <f>SUM(J49,J66)</f>
        <v>10324700</v>
      </c>
      <c r="K70" s="74">
        <f>SUM(K66+K49)</f>
        <v>0</v>
      </c>
      <c r="L70" s="60">
        <f>SUM(L66+L49)</f>
        <v>8180300</v>
      </c>
      <c r="M70" s="60">
        <f>SUM(M66+M49)</f>
        <v>0</v>
      </c>
      <c r="N70" s="39"/>
      <c r="O70" s="182"/>
    </row>
    <row r="71" spans="4:15" x14ac:dyDescent="0.25">
      <c r="D71" s="57"/>
      <c r="I71" s="58"/>
      <c r="J71" s="58"/>
    </row>
    <row r="72" spans="4:15" ht="18.75" x14ac:dyDescent="0.3">
      <c r="D72" s="57"/>
      <c r="H72" s="183"/>
      <c r="I72" s="183"/>
      <c r="J72" s="83"/>
      <c r="L72" s="184" t="s">
        <v>28</v>
      </c>
      <c r="M72" s="185"/>
      <c r="N72" s="84">
        <f>SUM(J70+L70)</f>
        <v>18505000</v>
      </c>
      <c r="O72" s="186">
        <f>SUM(N72+N73)</f>
        <v>18505000</v>
      </c>
    </row>
    <row r="73" spans="4:15" ht="18.75" x14ac:dyDescent="0.3">
      <c r="D73" s="57"/>
      <c r="H73" s="183"/>
      <c r="I73" s="183"/>
      <c r="J73" s="83"/>
      <c r="L73" s="184" t="s">
        <v>29</v>
      </c>
      <c r="M73" s="185"/>
      <c r="N73" s="84">
        <f>SUM(K70+M70)</f>
        <v>0</v>
      </c>
      <c r="O73" s="187"/>
    </row>
    <row r="74" spans="4:15" ht="18.75" x14ac:dyDescent="0.3">
      <c r="D74" s="57"/>
      <c r="H74" s="168"/>
      <c r="I74" s="168"/>
      <c r="J74" s="85"/>
      <c r="K74" s="86"/>
    </row>
    <row r="75" spans="4:15" x14ac:dyDescent="0.25">
      <c r="D75" s="2" t="s">
        <v>30</v>
      </c>
      <c r="E75" s="1"/>
      <c r="F75" s="1"/>
      <c r="G75" s="1"/>
      <c r="H75" s="1"/>
      <c r="I75" s="1"/>
      <c r="J75" s="1"/>
      <c r="K75" s="1"/>
    </row>
    <row r="76" spans="4:15" x14ac:dyDescent="0.25">
      <c r="D76" s="2"/>
      <c r="E76" s="1"/>
      <c r="F76" s="1"/>
      <c r="G76" s="1"/>
      <c r="H76" s="1"/>
      <c r="I76" s="1"/>
      <c r="J76" s="1"/>
      <c r="K76" s="1"/>
    </row>
    <row r="77" spans="4:15" x14ac:dyDescent="0.25">
      <c r="D77" s="3" t="s">
        <v>31</v>
      </c>
      <c r="E77" s="3"/>
      <c r="F77" s="3" t="s">
        <v>32</v>
      </c>
      <c r="G77" s="3"/>
      <c r="H77" s="3" t="s">
        <v>33</v>
      </c>
      <c r="I77" s="3"/>
      <c r="J77" s="3" t="s">
        <v>34</v>
      </c>
      <c r="K77" s="3"/>
    </row>
    <row r="78" spans="4:15" x14ac:dyDescent="0.25">
      <c r="D78" s="3"/>
      <c r="E78" s="3"/>
      <c r="F78" s="3"/>
      <c r="G78" s="3"/>
      <c r="H78" s="3"/>
      <c r="I78" s="3"/>
      <c r="J78" s="3"/>
      <c r="K78" s="3"/>
    </row>
    <row r="79" spans="4:15" x14ac:dyDescent="0.25">
      <c r="D79" s="3"/>
      <c r="E79" s="3"/>
      <c r="F79" s="3"/>
      <c r="G79" s="3"/>
      <c r="H79" s="3"/>
      <c r="I79" s="3"/>
      <c r="J79" s="3"/>
      <c r="K79" s="3"/>
    </row>
    <row r="80" spans="4:15" x14ac:dyDescent="0.25">
      <c r="D80" s="3"/>
      <c r="E80" s="3"/>
      <c r="F80" s="3"/>
      <c r="G80" s="3"/>
      <c r="H80" s="3"/>
      <c r="I80" s="3"/>
      <c r="J80" s="3"/>
      <c r="K80" s="3"/>
    </row>
    <row r="81" spans="4:11" x14ac:dyDescent="0.25">
      <c r="D81" s="3" t="s">
        <v>35</v>
      </c>
      <c r="E81" s="3"/>
      <c r="F81" s="3" t="s">
        <v>36</v>
      </c>
      <c r="G81" s="3"/>
      <c r="H81" s="3" t="s">
        <v>36</v>
      </c>
      <c r="I81" s="3"/>
      <c r="J81" s="3" t="s">
        <v>37</v>
      </c>
      <c r="K81" s="3"/>
    </row>
    <row r="82" spans="4:11" x14ac:dyDescent="0.25">
      <c r="D82" s="57"/>
    </row>
    <row r="83" spans="4:11" x14ac:dyDescent="0.25">
      <c r="D83" s="57"/>
    </row>
    <row r="84" spans="4:11" x14ac:dyDescent="0.25">
      <c r="D84" s="57"/>
    </row>
    <row r="85" spans="4:11" x14ac:dyDescent="0.25">
      <c r="D85" s="57"/>
    </row>
    <row r="86" spans="4:11" x14ac:dyDescent="0.25">
      <c r="D86" s="57"/>
    </row>
  </sheetData>
  <mergeCells count="48">
    <mergeCell ref="O52:O53"/>
    <mergeCell ref="J53:K53"/>
    <mergeCell ref="L53:M53"/>
    <mergeCell ref="H74:I74"/>
    <mergeCell ref="B60:I60"/>
    <mergeCell ref="B61:O61"/>
    <mergeCell ref="B64:I64"/>
    <mergeCell ref="H68:I70"/>
    <mergeCell ref="J68:K68"/>
    <mergeCell ref="L68:M68"/>
    <mergeCell ref="O68:O70"/>
    <mergeCell ref="H72:I72"/>
    <mergeCell ref="L72:M72"/>
    <mergeCell ref="O72:O73"/>
    <mergeCell ref="H73:I73"/>
    <mergeCell ref="L73:M73"/>
    <mergeCell ref="L7:M7"/>
    <mergeCell ref="G52:G53"/>
    <mergeCell ref="B20:O20"/>
    <mergeCell ref="B35:I35"/>
    <mergeCell ref="B36:O36"/>
    <mergeCell ref="B46:I46"/>
    <mergeCell ref="G49:I49"/>
    <mergeCell ref="B51:D51"/>
    <mergeCell ref="B52:B53"/>
    <mergeCell ref="C52:C53"/>
    <mergeCell ref="D52:D53"/>
    <mergeCell ref="E52:E53"/>
    <mergeCell ref="F52:F53"/>
    <mergeCell ref="H52:H53"/>
    <mergeCell ref="I52:I53"/>
    <mergeCell ref="J52:N52"/>
    <mergeCell ref="G66:I66"/>
    <mergeCell ref="B19:I19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" right="0" top="0" bottom="0" header="0" footer="0"/>
  <pageSetup paperSize="9" scale="65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C0DD-07A0-4E77-B79C-98A7DFCB66C3}">
  <dimension ref="A2:Q90"/>
  <sheetViews>
    <sheetView topLeftCell="E56" workbookViewId="0">
      <selection activeCell="G70" sqref="G70:I70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1494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1495</v>
      </c>
      <c r="E9" s="14" t="s">
        <v>714</v>
      </c>
      <c r="F9" s="15" t="s">
        <v>715</v>
      </c>
      <c r="G9" s="16">
        <v>46183</v>
      </c>
      <c r="H9" s="16">
        <v>46196</v>
      </c>
      <c r="I9" s="23">
        <v>328700</v>
      </c>
      <c r="J9" s="18">
        <v>163000</v>
      </c>
      <c r="K9" s="19"/>
      <c r="L9" s="24"/>
      <c r="M9" s="24"/>
      <c r="N9" s="22" t="s">
        <v>158</v>
      </c>
      <c r="O9" s="22"/>
    </row>
    <row r="10" spans="2:17" x14ac:dyDescent="0.25">
      <c r="B10" s="11">
        <v>2</v>
      </c>
      <c r="C10" s="12"/>
      <c r="D10" s="13" t="s">
        <v>1496</v>
      </c>
      <c r="E10" s="14" t="s">
        <v>724</v>
      </c>
      <c r="F10" s="15" t="s">
        <v>718</v>
      </c>
      <c r="G10" s="16">
        <v>46183</v>
      </c>
      <c r="H10" s="16">
        <v>46196</v>
      </c>
      <c r="I10" s="23">
        <v>215100</v>
      </c>
      <c r="J10" s="18">
        <f t="shared" ref="J10:J12" si="0">I10</f>
        <v>215100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1497</v>
      </c>
      <c r="E11" s="14" t="s">
        <v>1498</v>
      </c>
      <c r="F11" s="15" t="s">
        <v>712</v>
      </c>
      <c r="G11" s="16">
        <v>46170</v>
      </c>
      <c r="H11" s="16">
        <v>46183</v>
      </c>
      <c r="I11" s="23">
        <v>430200</v>
      </c>
      <c r="J11" s="18">
        <v>310200</v>
      </c>
      <c r="K11" s="19"/>
      <c r="L11" s="24"/>
      <c r="M11" s="24"/>
      <c r="N11" s="22" t="s">
        <v>158</v>
      </c>
      <c r="O11" s="22"/>
    </row>
    <row r="12" spans="2:17" x14ac:dyDescent="0.25">
      <c r="B12" s="11">
        <v>4</v>
      </c>
      <c r="C12" s="12"/>
      <c r="D12" s="13" t="s">
        <v>719</v>
      </c>
      <c r="E12" s="14" t="s">
        <v>720</v>
      </c>
      <c r="F12" s="15" t="s">
        <v>718</v>
      </c>
      <c r="G12" s="16">
        <v>46170</v>
      </c>
      <c r="H12" s="16">
        <v>46183</v>
      </c>
      <c r="I12" s="23">
        <v>178700</v>
      </c>
      <c r="J12" s="18">
        <f t="shared" si="0"/>
        <v>178700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1499</v>
      </c>
      <c r="E13" s="14" t="s">
        <v>1500</v>
      </c>
      <c r="F13" s="15" t="s">
        <v>135</v>
      </c>
      <c r="G13" s="16">
        <v>46165</v>
      </c>
      <c r="H13" s="16">
        <v>46178</v>
      </c>
      <c r="I13" s="23">
        <v>13208500</v>
      </c>
      <c r="J13" s="18"/>
      <c r="K13" s="19">
        <v>13208500</v>
      </c>
      <c r="L13" s="24"/>
      <c r="M13" s="24"/>
      <c r="N13" s="22" t="s">
        <v>1553</v>
      </c>
      <c r="O13" s="22"/>
    </row>
    <row r="14" spans="2:17" x14ac:dyDescent="0.25">
      <c r="B14" s="11">
        <v>6</v>
      </c>
      <c r="C14" s="12"/>
      <c r="D14" s="13" t="s">
        <v>1346</v>
      </c>
      <c r="E14" s="14" t="s">
        <v>1347</v>
      </c>
      <c r="F14" s="15" t="s">
        <v>250</v>
      </c>
      <c r="G14" s="16">
        <v>46163</v>
      </c>
      <c r="H14" s="16">
        <v>46176</v>
      </c>
      <c r="I14" s="23">
        <v>136200</v>
      </c>
      <c r="J14" s="18"/>
      <c r="K14" s="19">
        <v>136200</v>
      </c>
      <c r="L14" s="24"/>
      <c r="M14" s="24"/>
      <c r="N14" s="22" t="s">
        <v>1553</v>
      </c>
      <c r="O14" s="22"/>
    </row>
    <row r="15" spans="2:17" x14ac:dyDescent="0.25">
      <c r="B15" s="11">
        <v>7</v>
      </c>
      <c r="C15" s="12"/>
      <c r="D15" s="13" t="s">
        <v>1552</v>
      </c>
      <c r="E15" s="14" t="s">
        <v>1347</v>
      </c>
      <c r="F15" s="15" t="s">
        <v>250</v>
      </c>
      <c r="G15" s="16">
        <v>46163</v>
      </c>
      <c r="H15" s="16">
        <v>46176</v>
      </c>
      <c r="I15" s="23">
        <v>64501</v>
      </c>
      <c r="J15" s="18"/>
      <c r="K15" s="19"/>
      <c r="L15" s="24">
        <v>701</v>
      </c>
      <c r="M15" s="24">
        <v>63800</v>
      </c>
      <c r="N15" s="22" t="s">
        <v>1553</v>
      </c>
      <c r="O15" s="22"/>
    </row>
    <row r="16" spans="2:17" x14ac:dyDescent="0.25">
      <c r="B16" s="11">
        <v>8</v>
      </c>
      <c r="C16" s="12"/>
      <c r="D16" s="13" t="s">
        <v>1501</v>
      </c>
      <c r="E16" s="14" t="s">
        <v>1502</v>
      </c>
      <c r="F16" s="15" t="s">
        <v>738</v>
      </c>
      <c r="G16" s="16">
        <v>46183</v>
      </c>
      <c r="H16" s="16">
        <v>46196</v>
      </c>
      <c r="I16" s="23">
        <v>144000</v>
      </c>
      <c r="J16" s="18"/>
      <c r="K16" s="19"/>
      <c r="L16" s="24">
        <f t="shared" ref="L16:L19" si="1">I16</f>
        <v>144000</v>
      </c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1503</v>
      </c>
      <c r="E17" s="14" t="s">
        <v>732</v>
      </c>
      <c r="F17" s="15" t="s">
        <v>718</v>
      </c>
      <c r="G17" s="16">
        <v>46183</v>
      </c>
      <c r="H17" s="16">
        <v>46196</v>
      </c>
      <c r="I17" s="23">
        <v>763536</v>
      </c>
      <c r="J17" s="18"/>
      <c r="K17" s="19"/>
      <c r="L17" s="24">
        <v>300000</v>
      </c>
      <c r="M17" s="24"/>
      <c r="N17" s="22" t="s">
        <v>158</v>
      </c>
      <c r="O17" s="22"/>
    </row>
    <row r="18" spans="2:15" x14ac:dyDescent="0.25">
      <c r="B18" s="11">
        <v>10</v>
      </c>
      <c r="C18" s="12"/>
      <c r="D18" s="13" t="s">
        <v>1504</v>
      </c>
      <c r="E18" s="14" t="s">
        <v>724</v>
      </c>
      <c r="F18" s="15" t="s">
        <v>718</v>
      </c>
      <c r="G18" s="16">
        <v>46183</v>
      </c>
      <c r="H18" s="16">
        <v>46196</v>
      </c>
      <c r="I18" s="23">
        <v>138996</v>
      </c>
      <c r="J18" s="18"/>
      <c r="K18" s="19"/>
      <c r="L18" s="24">
        <f t="shared" si="1"/>
        <v>138996</v>
      </c>
      <c r="M18" s="24"/>
      <c r="N18" s="22" t="s">
        <v>155</v>
      </c>
      <c r="O18" s="22"/>
    </row>
    <row r="19" spans="2:15" x14ac:dyDescent="0.25">
      <c r="B19" s="11">
        <v>11</v>
      </c>
      <c r="C19" s="12"/>
      <c r="D19" s="13" t="s">
        <v>1505</v>
      </c>
      <c r="E19" s="14" t="s">
        <v>729</v>
      </c>
      <c r="F19" s="15" t="s">
        <v>718</v>
      </c>
      <c r="G19" s="16">
        <v>46183</v>
      </c>
      <c r="H19" s="16">
        <v>46196</v>
      </c>
      <c r="I19" s="23">
        <v>1680696</v>
      </c>
      <c r="J19" s="18"/>
      <c r="K19" s="19"/>
      <c r="L19" s="24">
        <f t="shared" si="1"/>
        <v>1680696</v>
      </c>
      <c r="M19" s="24"/>
      <c r="N19" s="22" t="s">
        <v>155</v>
      </c>
      <c r="O19" s="22"/>
    </row>
    <row r="20" spans="2:15" ht="15.75" x14ac:dyDescent="0.25">
      <c r="B20" s="169" t="s">
        <v>13</v>
      </c>
      <c r="C20" s="170"/>
      <c r="D20" s="170"/>
      <c r="E20" s="170"/>
      <c r="F20" s="170"/>
      <c r="G20" s="170"/>
      <c r="H20" s="170"/>
      <c r="I20" s="171"/>
      <c r="J20" s="25">
        <f>SUM(J9:J19)</f>
        <v>867000</v>
      </c>
      <c r="K20" s="26">
        <f>SUM(K9:K19)</f>
        <v>13344700</v>
      </c>
      <c r="L20" s="27">
        <f>SUM(L9:L19)</f>
        <v>2264393</v>
      </c>
      <c r="M20" s="28">
        <f>SUM(M9:M19)</f>
        <v>63800</v>
      </c>
      <c r="N20" s="29"/>
      <c r="O20" s="30">
        <f>SUM(J20+K20+L20+M20)</f>
        <v>16539893</v>
      </c>
    </row>
    <row r="21" spans="2:15" ht="15.75" x14ac:dyDescent="0.25">
      <c r="B21" s="190"/>
      <c r="C21" s="191"/>
      <c r="D21" s="191"/>
      <c r="E21" s="191"/>
      <c r="F21" s="191"/>
      <c r="G21" s="191"/>
      <c r="H21" s="191"/>
      <c r="I21" s="191"/>
      <c r="J21" s="191"/>
      <c r="K21" s="191"/>
      <c r="L21" s="191"/>
      <c r="M21" s="191"/>
      <c r="N21" s="191"/>
      <c r="O21" s="191"/>
    </row>
    <row r="22" spans="2:15" x14ac:dyDescent="0.25">
      <c r="B22" s="11">
        <v>1</v>
      </c>
      <c r="C22" s="31" t="s">
        <v>20</v>
      </c>
      <c r="D22" s="13" t="s">
        <v>1506</v>
      </c>
      <c r="E22" s="32" t="s">
        <v>1507</v>
      </c>
      <c r="F22" s="33" t="s">
        <v>741</v>
      </c>
      <c r="G22" s="34">
        <v>46168</v>
      </c>
      <c r="H22" s="35">
        <v>46181</v>
      </c>
      <c r="I22" s="36">
        <v>430200</v>
      </c>
      <c r="J22" s="37">
        <f>I22</f>
        <v>430200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2</v>
      </c>
      <c r="C23" s="31"/>
      <c r="D23" s="13" t="s">
        <v>1508</v>
      </c>
      <c r="E23" s="32" t="s">
        <v>356</v>
      </c>
      <c r="F23" s="33" t="s">
        <v>352</v>
      </c>
      <c r="G23" s="34">
        <v>46168</v>
      </c>
      <c r="H23" s="35">
        <v>46181</v>
      </c>
      <c r="I23" s="36">
        <v>215100</v>
      </c>
      <c r="J23" s="37">
        <f t="shared" ref="J23:J30" si="2">I23</f>
        <v>215100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3</v>
      </c>
      <c r="C24" s="31"/>
      <c r="D24" s="13" t="s">
        <v>1509</v>
      </c>
      <c r="E24" s="32" t="s">
        <v>1510</v>
      </c>
      <c r="F24" s="33" t="s">
        <v>1511</v>
      </c>
      <c r="G24" s="34">
        <v>46170</v>
      </c>
      <c r="H24" s="35">
        <v>46183</v>
      </c>
      <c r="I24" s="36">
        <v>430200</v>
      </c>
      <c r="J24" s="37">
        <f t="shared" si="2"/>
        <v>430200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4</v>
      </c>
      <c r="C25" s="31"/>
      <c r="D25" s="13" t="s">
        <v>1512</v>
      </c>
      <c r="E25" s="32" t="s">
        <v>754</v>
      </c>
      <c r="F25" s="33" t="s">
        <v>755</v>
      </c>
      <c r="G25" s="34">
        <v>46183</v>
      </c>
      <c r="H25" s="35">
        <v>46196</v>
      </c>
      <c r="I25" s="36">
        <v>215100</v>
      </c>
      <c r="J25" s="37">
        <f t="shared" si="2"/>
        <v>215100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5</v>
      </c>
      <c r="C26" s="31"/>
      <c r="D26" s="13" t="s">
        <v>1513</v>
      </c>
      <c r="E26" s="32" t="s">
        <v>751</v>
      </c>
      <c r="F26" s="33" t="s">
        <v>752</v>
      </c>
      <c r="G26" s="34">
        <v>46183</v>
      </c>
      <c r="H26" s="35">
        <v>46196</v>
      </c>
      <c r="I26" s="36">
        <v>215100</v>
      </c>
      <c r="J26" s="37">
        <f t="shared" si="2"/>
        <v>215100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6</v>
      </c>
      <c r="C27" s="31"/>
      <c r="D27" s="13" t="s">
        <v>874</v>
      </c>
      <c r="E27" s="32" t="s">
        <v>764</v>
      </c>
      <c r="F27" s="33" t="s">
        <v>752</v>
      </c>
      <c r="G27" s="34">
        <v>46183</v>
      </c>
      <c r="H27" s="35">
        <v>46196</v>
      </c>
      <c r="I27" s="36">
        <v>150000</v>
      </c>
      <c r="J27" s="37">
        <f t="shared" si="2"/>
        <v>150000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7</v>
      </c>
      <c r="C28" s="31"/>
      <c r="D28" s="13" t="s">
        <v>1514</v>
      </c>
      <c r="E28" s="32" t="s">
        <v>758</v>
      </c>
      <c r="F28" s="33" t="s">
        <v>756</v>
      </c>
      <c r="G28" s="34">
        <v>46183</v>
      </c>
      <c r="H28" s="35">
        <v>46196</v>
      </c>
      <c r="I28" s="36">
        <v>543800</v>
      </c>
      <c r="J28" s="37">
        <v>143800</v>
      </c>
      <c r="K28" s="19"/>
      <c r="L28" s="24"/>
      <c r="M28" s="24"/>
      <c r="N28" s="22" t="s">
        <v>158</v>
      </c>
      <c r="O28" s="22"/>
    </row>
    <row r="29" spans="2:15" x14ac:dyDescent="0.25">
      <c r="B29" s="11">
        <v>8</v>
      </c>
      <c r="C29" s="31"/>
      <c r="D29" s="13" t="s">
        <v>1515</v>
      </c>
      <c r="E29" s="32" t="s">
        <v>1516</v>
      </c>
      <c r="F29" s="33" t="s">
        <v>755</v>
      </c>
      <c r="G29" s="34">
        <v>46183</v>
      </c>
      <c r="H29" s="35">
        <v>46196</v>
      </c>
      <c r="I29" s="36">
        <v>215100</v>
      </c>
      <c r="J29" s="37">
        <f t="shared" si="2"/>
        <v>215100</v>
      </c>
      <c r="K29" s="19"/>
      <c r="L29" s="24"/>
      <c r="M29" s="24"/>
      <c r="N29" s="22" t="s">
        <v>155</v>
      </c>
      <c r="O29" s="22"/>
    </row>
    <row r="30" spans="2:15" x14ac:dyDescent="0.25">
      <c r="B30" s="11">
        <v>9</v>
      </c>
      <c r="C30" s="31"/>
      <c r="D30" s="13" t="s">
        <v>1517</v>
      </c>
      <c r="E30" s="32" t="s">
        <v>760</v>
      </c>
      <c r="F30" s="33" t="s">
        <v>744</v>
      </c>
      <c r="G30" s="34">
        <v>46183</v>
      </c>
      <c r="H30" s="35">
        <v>46196</v>
      </c>
      <c r="I30" s="36">
        <v>328700</v>
      </c>
      <c r="J30" s="37">
        <f t="shared" si="2"/>
        <v>328700</v>
      </c>
      <c r="K30" s="19"/>
      <c r="L30" s="24"/>
      <c r="M30" s="24"/>
      <c r="N30" s="22" t="s">
        <v>155</v>
      </c>
      <c r="O30" s="22"/>
    </row>
    <row r="31" spans="2:15" x14ac:dyDescent="0.25">
      <c r="B31" s="11">
        <v>10</v>
      </c>
      <c r="C31" s="31"/>
      <c r="D31" s="13" t="s">
        <v>1518</v>
      </c>
      <c r="E31" s="32" t="s">
        <v>466</v>
      </c>
      <c r="F31" s="33" t="s">
        <v>1304</v>
      </c>
      <c r="G31" s="34">
        <v>46165</v>
      </c>
      <c r="H31" s="35">
        <v>46178</v>
      </c>
      <c r="I31" s="36">
        <v>4860000</v>
      </c>
      <c r="J31" s="37"/>
      <c r="K31" s="19"/>
      <c r="L31" s="24">
        <f>I31</f>
        <v>4860000</v>
      </c>
      <c r="M31" s="24"/>
      <c r="N31" s="22" t="s">
        <v>155</v>
      </c>
      <c r="O31" s="22"/>
    </row>
    <row r="32" spans="2:15" x14ac:dyDescent="0.25">
      <c r="B32" s="11">
        <v>11</v>
      </c>
      <c r="C32" s="31"/>
      <c r="D32" s="13" t="s">
        <v>1519</v>
      </c>
      <c r="E32" s="32" t="s">
        <v>1520</v>
      </c>
      <c r="F32" s="33" t="s">
        <v>752</v>
      </c>
      <c r="G32" s="34">
        <v>46183</v>
      </c>
      <c r="H32" s="35">
        <v>46196</v>
      </c>
      <c r="I32" s="36">
        <v>364276</v>
      </c>
      <c r="J32" s="37"/>
      <c r="K32" s="19"/>
      <c r="L32" s="24">
        <f t="shared" ref="L32:L34" si="3">I32</f>
        <v>364276</v>
      </c>
      <c r="M32" s="24"/>
      <c r="N32" s="22" t="s">
        <v>155</v>
      </c>
      <c r="O32" s="22"/>
    </row>
    <row r="33" spans="2:15" x14ac:dyDescent="0.25">
      <c r="B33" s="11">
        <v>12</v>
      </c>
      <c r="C33" s="31"/>
      <c r="D33" s="13" t="s">
        <v>1521</v>
      </c>
      <c r="E33" s="32" t="s">
        <v>749</v>
      </c>
      <c r="F33" s="33" t="s">
        <v>842</v>
      </c>
      <c r="G33" s="34">
        <v>46183</v>
      </c>
      <c r="H33" s="35">
        <v>46196</v>
      </c>
      <c r="I33" s="36">
        <v>285390</v>
      </c>
      <c r="J33" s="37"/>
      <c r="K33" s="19"/>
      <c r="L33" s="24">
        <f t="shared" si="3"/>
        <v>285390</v>
      </c>
      <c r="M33" s="24"/>
      <c r="N33" s="22" t="s">
        <v>155</v>
      </c>
      <c r="O33" s="22"/>
    </row>
    <row r="34" spans="2:15" x14ac:dyDescent="0.25">
      <c r="B34" s="11">
        <v>13</v>
      </c>
      <c r="C34" s="31"/>
      <c r="D34" s="13" t="s">
        <v>1522</v>
      </c>
      <c r="E34" s="32" t="s">
        <v>758</v>
      </c>
      <c r="F34" s="33" t="s">
        <v>756</v>
      </c>
      <c r="G34" s="34">
        <v>46183</v>
      </c>
      <c r="H34" s="35">
        <v>46196</v>
      </c>
      <c r="I34" s="36">
        <v>348000</v>
      </c>
      <c r="J34" s="37"/>
      <c r="K34" s="19"/>
      <c r="L34" s="24">
        <f t="shared" si="3"/>
        <v>348000</v>
      </c>
      <c r="M34" s="24"/>
      <c r="N34" s="22" t="s">
        <v>155</v>
      </c>
      <c r="O34" s="22"/>
    </row>
    <row r="35" spans="2:15" ht="15.75" x14ac:dyDescent="0.25">
      <c r="B35" s="192" t="s">
        <v>13</v>
      </c>
      <c r="C35" s="193"/>
      <c r="D35" s="193"/>
      <c r="E35" s="193"/>
      <c r="F35" s="193"/>
      <c r="G35" s="193"/>
      <c r="H35" s="193"/>
      <c r="I35" s="194"/>
      <c r="J35" s="38">
        <f>SUM(J22:J34)</f>
        <v>2343300</v>
      </c>
      <c r="K35" s="26">
        <f>SUM(K22:K34)</f>
        <v>0</v>
      </c>
      <c r="L35" s="27">
        <f>SUM(L22:L34)</f>
        <v>5857666</v>
      </c>
      <c r="M35" s="27">
        <f>SUM(M22:M34)</f>
        <v>0</v>
      </c>
      <c r="N35" s="39"/>
      <c r="O35" s="40">
        <f>SUM(J35+K35+L35+M35)</f>
        <v>8200966</v>
      </c>
    </row>
    <row r="36" spans="2:15" ht="15.75" x14ac:dyDescent="0.25"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</row>
    <row r="37" spans="2:15" ht="15.75" x14ac:dyDescent="0.25">
      <c r="B37" s="42">
        <v>1</v>
      </c>
      <c r="C37" s="43" t="s">
        <v>21</v>
      </c>
      <c r="D37" s="44" t="s">
        <v>1523</v>
      </c>
      <c r="E37" s="45" t="s">
        <v>429</v>
      </c>
      <c r="F37" s="45" t="s">
        <v>1524</v>
      </c>
      <c r="G37" s="46">
        <v>46183</v>
      </c>
      <c r="H37" s="46">
        <v>46196</v>
      </c>
      <c r="I37" s="47">
        <v>215100</v>
      </c>
      <c r="J37" s="48">
        <f>I37</f>
        <v>215100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2</v>
      </c>
      <c r="C38" s="43"/>
      <c r="D38" s="44" t="s">
        <v>1525</v>
      </c>
      <c r="E38" s="45" t="s">
        <v>1526</v>
      </c>
      <c r="F38" s="45" t="s">
        <v>1527</v>
      </c>
      <c r="G38" s="46">
        <v>46183</v>
      </c>
      <c r="H38" s="46">
        <v>46196</v>
      </c>
      <c r="I38" s="47">
        <v>430200</v>
      </c>
      <c r="J38" s="48">
        <f t="shared" ref="J38:J42" si="4">I38</f>
        <v>430200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3</v>
      </c>
      <c r="C39" s="43"/>
      <c r="D39" s="44" t="s">
        <v>1528</v>
      </c>
      <c r="E39" s="45" t="s">
        <v>769</v>
      </c>
      <c r="F39" s="45" t="s">
        <v>1529</v>
      </c>
      <c r="G39" s="46">
        <v>46183</v>
      </c>
      <c r="H39" s="46">
        <v>46196</v>
      </c>
      <c r="I39" s="47">
        <v>215100</v>
      </c>
      <c r="J39" s="48">
        <f t="shared" si="4"/>
        <v>215100</v>
      </c>
      <c r="K39" s="49"/>
      <c r="L39" s="50"/>
      <c r="M39" s="50"/>
      <c r="N39" s="22" t="s">
        <v>155</v>
      </c>
      <c r="O39" s="42"/>
    </row>
    <row r="40" spans="2:15" ht="15.75" x14ac:dyDescent="0.25">
      <c r="B40" s="42">
        <v>4</v>
      </c>
      <c r="C40" s="43"/>
      <c r="D40" s="44" t="s">
        <v>1530</v>
      </c>
      <c r="E40" s="45" t="s">
        <v>772</v>
      </c>
      <c r="F40" s="45" t="s">
        <v>773</v>
      </c>
      <c r="G40" s="46">
        <v>46183</v>
      </c>
      <c r="H40" s="46">
        <v>46196</v>
      </c>
      <c r="I40" s="47">
        <v>215100</v>
      </c>
      <c r="J40" s="48">
        <f t="shared" si="4"/>
        <v>215100</v>
      </c>
      <c r="K40" s="49"/>
      <c r="L40" s="50"/>
      <c r="M40" s="50"/>
      <c r="N40" s="22" t="s">
        <v>155</v>
      </c>
      <c r="O40" s="42"/>
    </row>
    <row r="41" spans="2:15" ht="15.75" x14ac:dyDescent="0.25">
      <c r="B41" s="42">
        <v>5</v>
      </c>
      <c r="C41" s="43"/>
      <c r="D41" s="44" t="s">
        <v>1531</v>
      </c>
      <c r="E41" s="45" t="s">
        <v>1532</v>
      </c>
      <c r="F41" s="45" t="s">
        <v>776</v>
      </c>
      <c r="G41" s="46">
        <v>46183</v>
      </c>
      <c r="H41" s="46">
        <v>46196</v>
      </c>
      <c r="I41" s="47">
        <v>328700</v>
      </c>
      <c r="J41" s="48">
        <f t="shared" si="4"/>
        <v>328700</v>
      </c>
      <c r="K41" s="49"/>
      <c r="L41" s="50"/>
      <c r="M41" s="50"/>
      <c r="N41" s="22" t="s">
        <v>155</v>
      </c>
      <c r="O41" s="42"/>
    </row>
    <row r="42" spans="2:15" ht="15.75" x14ac:dyDescent="0.25">
      <c r="B42" s="42">
        <v>6</v>
      </c>
      <c r="C42" s="43"/>
      <c r="D42" s="44" t="s">
        <v>1533</v>
      </c>
      <c r="E42" s="45" t="s">
        <v>775</v>
      </c>
      <c r="F42" s="45" t="s">
        <v>776</v>
      </c>
      <c r="G42" s="46">
        <v>46183</v>
      </c>
      <c r="H42" s="46">
        <v>46196</v>
      </c>
      <c r="I42" s="47">
        <v>657400</v>
      </c>
      <c r="J42" s="48">
        <f t="shared" si="4"/>
        <v>657400</v>
      </c>
      <c r="K42" s="49"/>
      <c r="L42" s="50"/>
      <c r="M42" s="50"/>
      <c r="N42" s="22" t="s">
        <v>155</v>
      </c>
      <c r="O42" s="42"/>
    </row>
    <row r="43" spans="2:15" ht="15.75" x14ac:dyDescent="0.25">
      <c r="B43" s="42">
        <v>7</v>
      </c>
      <c r="C43" s="43"/>
      <c r="D43" s="44" t="s">
        <v>1534</v>
      </c>
      <c r="E43" s="45" t="s">
        <v>772</v>
      </c>
      <c r="F43" s="45" t="s">
        <v>773</v>
      </c>
      <c r="G43" s="46">
        <v>46183</v>
      </c>
      <c r="H43" s="46">
        <v>46196</v>
      </c>
      <c r="I43" s="47">
        <v>117140</v>
      </c>
      <c r="J43" s="48"/>
      <c r="K43" s="49"/>
      <c r="L43" s="51">
        <f t="shared" ref="L43:L45" si="5">I43</f>
        <v>117140</v>
      </c>
      <c r="M43" s="51"/>
      <c r="N43" s="22" t="s">
        <v>155</v>
      </c>
      <c r="O43" s="42"/>
    </row>
    <row r="44" spans="2:15" ht="15.75" x14ac:dyDescent="0.25">
      <c r="B44" s="42">
        <v>8</v>
      </c>
      <c r="C44" s="43"/>
      <c r="D44" s="44" t="s">
        <v>1535</v>
      </c>
      <c r="E44" s="45" t="s">
        <v>775</v>
      </c>
      <c r="F44" s="45" t="s">
        <v>776</v>
      </c>
      <c r="G44" s="46">
        <v>46183</v>
      </c>
      <c r="H44" s="46">
        <v>46196</v>
      </c>
      <c r="I44" s="47">
        <v>128498</v>
      </c>
      <c r="J44" s="48"/>
      <c r="K44" s="49"/>
      <c r="L44" s="51">
        <f t="shared" si="5"/>
        <v>128498</v>
      </c>
      <c r="M44" s="51"/>
      <c r="N44" s="22" t="s">
        <v>155</v>
      </c>
      <c r="O44" s="42"/>
    </row>
    <row r="45" spans="2:15" ht="15.75" x14ac:dyDescent="0.25">
      <c r="B45" s="42">
        <v>9</v>
      </c>
      <c r="C45" s="42"/>
      <c r="D45" s="44" t="s">
        <v>1536</v>
      </c>
      <c r="E45" s="45" t="s">
        <v>429</v>
      </c>
      <c r="F45" s="45" t="s">
        <v>1524</v>
      </c>
      <c r="G45" s="46">
        <v>46183</v>
      </c>
      <c r="H45" s="46">
        <v>46196</v>
      </c>
      <c r="I45" s="47">
        <v>69498</v>
      </c>
      <c r="J45" s="48"/>
      <c r="K45" s="49"/>
      <c r="L45" s="51">
        <f t="shared" si="5"/>
        <v>69498</v>
      </c>
      <c r="M45" s="51"/>
      <c r="N45" s="22" t="s">
        <v>155</v>
      </c>
      <c r="O45" s="42"/>
    </row>
    <row r="46" spans="2:15" ht="15.75" x14ac:dyDescent="0.25">
      <c r="B46" s="197" t="s">
        <v>13</v>
      </c>
      <c r="C46" s="198"/>
      <c r="D46" s="198"/>
      <c r="E46" s="198"/>
      <c r="F46" s="198"/>
      <c r="G46" s="198"/>
      <c r="H46" s="198"/>
      <c r="I46" s="199"/>
      <c r="J46" s="52">
        <f>SUM(J37:J45)</f>
        <v>2061600</v>
      </c>
      <c r="K46" s="53">
        <f>SUM(K37:K45)</f>
        <v>0</v>
      </c>
      <c r="L46" s="54">
        <f>SUM(L37:L45)</f>
        <v>315136</v>
      </c>
      <c r="M46" s="54">
        <f>SUM(M37:M45)</f>
        <v>0</v>
      </c>
      <c r="N46" s="55"/>
      <c r="O46" s="56">
        <f>SUM(J46+K46+L46+M46)</f>
        <v>2376736</v>
      </c>
    </row>
    <row r="47" spans="2:15" x14ac:dyDescent="0.25">
      <c r="D47" s="57"/>
      <c r="I47" s="58"/>
      <c r="J47" s="58"/>
    </row>
    <row r="48" spans="2:15" x14ac:dyDescent="0.25">
      <c r="D48" s="57"/>
      <c r="I48" s="58"/>
      <c r="J48" s="58"/>
    </row>
    <row r="49" spans="2:15" ht="15.75" x14ac:dyDescent="0.25">
      <c r="D49" s="57"/>
      <c r="G49" s="200" t="s">
        <v>22</v>
      </c>
      <c r="H49" s="200"/>
      <c r="I49" s="200"/>
      <c r="J49" s="59">
        <f>SUM(J46+J35+J20)</f>
        <v>5271900</v>
      </c>
      <c r="K49" s="26">
        <f>SUM(K46+K35+K20)</f>
        <v>13344700</v>
      </c>
      <c r="L49" s="60">
        <f>SUM(L46+L35+L20)</f>
        <v>8437195</v>
      </c>
      <c r="M49" s="60">
        <f>SUM(M46+M35+M20)</f>
        <v>63800</v>
      </c>
      <c r="N49" s="39"/>
      <c r="O49" s="30">
        <f>SUM(J49+K49+L49+M49)</f>
        <v>27117595</v>
      </c>
    </row>
    <row r="50" spans="2:15" x14ac:dyDescent="0.25">
      <c r="D50" s="57"/>
      <c r="I50" s="58"/>
      <c r="J50" s="58"/>
    </row>
    <row r="51" spans="2:15" x14ac:dyDescent="0.25">
      <c r="B51" s="201" t="s">
        <v>17</v>
      </c>
      <c r="C51" s="201"/>
      <c r="D51" s="201"/>
      <c r="I51" s="58"/>
      <c r="J51" s="58"/>
    </row>
    <row r="52" spans="2:15" ht="15.75" x14ac:dyDescent="0.25">
      <c r="B52" s="188" t="s">
        <v>4</v>
      </c>
      <c r="C52" s="202" t="s">
        <v>23</v>
      </c>
      <c r="D52" s="188" t="s">
        <v>6</v>
      </c>
      <c r="E52" s="188" t="s">
        <v>7</v>
      </c>
      <c r="F52" s="188" t="s">
        <v>8</v>
      </c>
      <c r="G52" s="188" t="s">
        <v>9</v>
      </c>
      <c r="H52" s="188" t="s">
        <v>10</v>
      </c>
      <c r="I52" s="202" t="s">
        <v>24</v>
      </c>
      <c r="J52" s="169" t="s">
        <v>12</v>
      </c>
      <c r="K52" s="170"/>
      <c r="L52" s="170"/>
      <c r="M52" s="170"/>
      <c r="N52" s="171"/>
      <c r="O52" s="204" t="s">
        <v>13</v>
      </c>
    </row>
    <row r="53" spans="2:15" ht="15.75" x14ac:dyDescent="0.25">
      <c r="B53" s="189"/>
      <c r="C53" s="203"/>
      <c r="D53" s="189"/>
      <c r="E53" s="189"/>
      <c r="F53" s="189"/>
      <c r="G53" s="189"/>
      <c r="H53" s="189"/>
      <c r="I53" s="203"/>
      <c r="J53" s="164" t="s">
        <v>14</v>
      </c>
      <c r="K53" s="165"/>
      <c r="L53" s="166" t="s">
        <v>15</v>
      </c>
      <c r="M53" s="167"/>
      <c r="N53" s="4" t="s">
        <v>16</v>
      </c>
      <c r="O53" s="205"/>
    </row>
    <row r="54" spans="2:15" ht="15.75" x14ac:dyDescent="0.25">
      <c r="B54" s="5"/>
      <c r="C54" s="61"/>
      <c r="D54" s="5"/>
      <c r="E54" s="5"/>
      <c r="F54" s="5"/>
      <c r="G54" s="5"/>
      <c r="H54" s="5"/>
      <c r="I54" s="61"/>
      <c r="J54" s="62" t="s">
        <v>17</v>
      </c>
      <c r="K54" s="6" t="s">
        <v>18</v>
      </c>
      <c r="L54" s="10" t="s">
        <v>17</v>
      </c>
      <c r="M54" s="10" t="s">
        <v>18</v>
      </c>
      <c r="N54" s="4"/>
      <c r="O54" s="7"/>
    </row>
    <row r="55" spans="2:15" ht="15" customHeight="1" x14ac:dyDescent="0.25">
      <c r="B55" s="63">
        <v>1</v>
      </c>
      <c r="C55" s="43" t="s">
        <v>154</v>
      </c>
      <c r="D55" s="64" t="s">
        <v>1537</v>
      </c>
      <c r="E55" s="65" t="s">
        <v>223</v>
      </c>
      <c r="F55" s="65" t="s">
        <v>110</v>
      </c>
      <c r="G55" s="66">
        <v>46196</v>
      </c>
      <c r="H55" s="66"/>
      <c r="I55" s="67">
        <v>1063000</v>
      </c>
      <c r="J55" s="37">
        <f t="shared" ref="J55:J57" si="6">I55</f>
        <v>1063000</v>
      </c>
      <c r="K55" s="68"/>
      <c r="L55" s="69"/>
      <c r="M55" s="69"/>
      <c r="N55" s="22" t="s">
        <v>155</v>
      </c>
      <c r="O55" s="70"/>
    </row>
    <row r="56" spans="2:15" ht="15" customHeight="1" x14ac:dyDescent="0.25">
      <c r="B56" s="63">
        <v>2</v>
      </c>
      <c r="C56" s="43" t="s">
        <v>154</v>
      </c>
      <c r="D56" s="71" t="s">
        <v>1538</v>
      </c>
      <c r="E56" s="71" t="s">
        <v>788</v>
      </c>
      <c r="F56" s="70" t="s">
        <v>110</v>
      </c>
      <c r="G56" s="66">
        <v>46196</v>
      </c>
      <c r="H56" s="72"/>
      <c r="I56" s="22">
        <v>1063000</v>
      </c>
      <c r="J56" s="37">
        <f t="shared" si="6"/>
        <v>1063000</v>
      </c>
      <c r="K56" s="68"/>
      <c r="L56" s="24"/>
      <c r="M56" s="69"/>
      <c r="N56" s="22" t="s">
        <v>155</v>
      </c>
      <c r="O56" s="70"/>
    </row>
    <row r="57" spans="2:15" ht="15" customHeight="1" x14ac:dyDescent="0.25">
      <c r="B57" s="63">
        <v>3</v>
      </c>
      <c r="C57" s="43" t="s">
        <v>154</v>
      </c>
      <c r="D57" s="71" t="s">
        <v>1539</v>
      </c>
      <c r="E57" s="71" t="s">
        <v>1540</v>
      </c>
      <c r="F57" s="70" t="s">
        <v>784</v>
      </c>
      <c r="G57" s="66">
        <v>46196</v>
      </c>
      <c r="H57" s="72"/>
      <c r="I57" s="22">
        <v>215100</v>
      </c>
      <c r="J57" s="37">
        <f t="shared" si="6"/>
        <v>215100</v>
      </c>
      <c r="K57" s="68"/>
      <c r="L57" s="24"/>
      <c r="M57" s="69"/>
      <c r="N57" s="22" t="s">
        <v>155</v>
      </c>
      <c r="O57" s="70"/>
    </row>
    <row r="58" spans="2:15" ht="15" customHeight="1" x14ac:dyDescent="0.25">
      <c r="B58" s="63">
        <v>4</v>
      </c>
      <c r="C58" s="43" t="s">
        <v>154</v>
      </c>
      <c r="D58" s="71" t="s">
        <v>1541</v>
      </c>
      <c r="E58" s="71" t="s">
        <v>786</v>
      </c>
      <c r="F58" s="70" t="s">
        <v>784</v>
      </c>
      <c r="G58" s="66">
        <v>46196</v>
      </c>
      <c r="H58" s="72"/>
      <c r="I58" s="22">
        <v>555500</v>
      </c>
      <c r="J58" s="37">
        <f>I58</f>
        <v>555500</v>
      </c>
      <c r="K58" s="68"/>
      <c r="L58" s="24"/>
      <c r="M58" s="69"/>
      <c r="N58" s="22" t="s">
        <v>155</v>
      </c>
      <c r="O58" s="70"/>
    </row>
    <row r="59" spans="2:15" ht="15" customHeight="1" x14ac:dyDescent="0.25">
      <c r="B59" s="63">
        <v>5</v>
      </c>
      <c r="C59" s="43" t="s">
        <v>154</v>
      </c>
      <c r="D59" s="71" t="s">
        <v>1542</v>
      </c>
      <c r="E59" s="71" t="s">
        <v>788</v>
      </c>
      <c r="F59" s="70" t="s">
        <v>110</v>
      </c>
      <c r="G59" s="66">
        <v>46196</v>
      </c>
      <c r="H59" s="72"/>
      <c r="I59" s="22">
        <v>342780</v>
      </c>
      <c r="J59" s="37"/>
      <c r="K59" s="68"/>
      <c r="L59" s="24">
        <f t="shared" ref="L59:L60" si="7">I59</f>
        <v>342780</v>
      </c>
      <c r="M59" s="69"/>
      <c r="N59" s="22" t="s">
        <v>155</v>
      </c>
      <c r="O59" s="70"/>
    </row>
    <row r="60" spans="2:15" ht="15" customHeight="1" x14ac:dyDescent="0.25">
      <c r="B60" s="63">
        <v>6</v>
      </c>
      <c r="C60" s="43" t="s">
        <v>154</v>
      </c>
      <c r="D60" s="71" t="s">
        <v>1543</v>
      </c>
      <c r="E60" s="71" t="s">
        <v>1540</v>
      </c>
      <c r="F60" s="70" t="s">
        <v>784</v>
      </c>
      <c r="G60" s="66">
        <v>46196</v>
      </c>
      <c r="H60" s="72"/>
      <c r="I60" s="22">
        <v>80000</v>
      </c>
      <c r="J60" s="37"/>
      <c r="K60" s="68"/>
      <c r="L60" s="24">
        <f t="shared" si="7"/>
        <v>80000</v>
      </c>
      <c r="M60" s="69"/>
      <c r="N60" s="22" t="s">
        <v>155</v>
      </c>
      <c r="O60" s="70"/>
    </row>
    <row r="61" spans="2:15" ht="15" customHeight="1" x14ac:dyDescent="0.25">
      <c r="B61" s="63">
        <v>7</v>
      </c>
      <c r="C61" s="43" t="s">
        <v>154</v>
      </c>
      <c r="D61" s="71" t="s">
        <v>1544</v>
      </c>
      <c r="E61" s="71" t="s">
        <v>1545</v>
      </c>
      <c r="F61" s="70" t="s">
        <v>326</v>
      </c>
      <c r="G61" s="66">
        <v>46196</v>
      </c>
      <c r="H61" s="72"/>
      <c r="I61" s="22">
        <v>43200</v>
      </c>
      <c r="J61" s="37"/>
      <c r="K61" s="68"/>
      <c r="L61" s="24">
        <f>I61</f>
        <v>43200</v>
      </c>
      <c r="M61" s="69"/>
      <c r="N61" s="22" t="s">
        <v>155</v>
      </c>
      <c r="O61" s="70"/>
    </row>
    <row r="62" spans="2:15" ht="15.75" x14ac:dyDescent="0.25">
      <c r="B62" s="169" t="s">
        <v>25</v>
      </c>
      <c r="C62" s="170"/>
      <c r="D62" s="170"/>
      <c r="E62" s="170"/>
      <c r="F62" s="170"/>
      <c r="G62" s="170"/>
      <c r="H62" s="170"/>
      <c r="I62" s="171"/>
      <c r="J62" s="25">
        <f>SUM(J55:J61)</f>
        <v>2896600</v>
      </c>
      <c r="K62" s="74">
        <f>SUM(K55:K61)</f>
        <v>0</v>
      </c>
      <c r="L62" s="60">
        <f>SUM(L55:L61)</f>
        <v>465980</v>
      </c>
      <c r="M62" s="60">
        <f>SUM(M55:M61)</f>
        <v>0</v>
      </c>
      <c r="N62" s="39"/>
      <c r="O62" s="75">
        <f>SUM(J62+K62+L62+M62)</f>
        <v>3362580</v>
      </c>
    </row>
    <row r="63" spans="2:15" ht="15.75" x14ac:dyDescent="0.25">
      <c r="B63" s="172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</row>
    <row r="64" spans="2:15" x14ac:dyDescent="0.25">
      <c r="B64" s="44">
        <v>1</v>
      </c>
      <c r="C64" s="12" t="s">
        <v>440</v>
      </c>
      <c r="D64" s="71" t="s">
        <v>1546</v>
      </c>
      <c r="E64" s="71" t="s">
        <v>665</v>
      </c>
      <c r="F64" s="70" t="s">
        <v>666</v>
      </c>
      <c r="G64" s="66">
        <v>46196</v>
      </c>
      <c r="H64" s="72"/>
      <c r="I64" s="22">
        <v>961500</v>
      </c>
      <c r="J64" s="73">
        <f t="shared" ref="J64:J65" si="8">I64</f>
        <v>961500</v>
      </c>
      <c r="K64" s="68"/>
      <c r="L64" s="69"/>
      <c r="M64" s="69"/>
      <c r="N64" s="22" t="s">
        <v>155</v>
      </c>
      <c r="O64" s="70"/>
    </row>
    <row r="65" spans="1:15" x14ac:dyDescent="0.25">
      <c r="B65" s="44">
        <v>2</v>
      </c>
      <c r="C65" s="12" t="s">
        <v>440</v>
      </c>
      <c r="D65" s="71" t="s">
        <v>1547</v>
      </c>
      <c r="E65" s="71" t="s">
        <v>1548</v>
      </c>
      <c r="F65" s="70" t="s">
        <v>741</v>
      </c>
      <c r="G65" s="66">
        <v>46196</v>
      </c>
      <c r="H65" s="72"/>
      <c r="I65" s="22">
        <v>860000</v>
      </c>
      <c r="J65" s="73">
        <f t="shared" si="8"/>
        <v>860000</v>
      </c>
      <c r="K65" s="68"/>
      <c r="L65" s="24"/>
      <c r="M65" s="24"/>
      <c r="N65" s="22" t="s">
        <v>155</v>
      </c>
      <c r="O65" s="70"/>
    </row>
    <row r="66" spans="1:15" x14ac:dyDescent="0.25">
      <c r="B66" s="44">
        <v>3</v>
      </c>
      <c r="C66" s="12" t="s">
        <v>440</v>
      </c>
      <c r="D66" s="71" t="s">
        <v>1549</v>
      </c>
      <c r="E66" s="71" t="s">
        <v>1550</v>
      </c>
      <c r="F66" s="70" t="s">
        <v>741</v>
      </c>
      <c r="G66" s="66">
        <v>46196</v>
      </c>
      <c r="H66" s="72"/>
      <c r="I66" s="22">
        <v>113600</v>
      </c>
      <c r="J66" s="73">
        <f>I66</f>
        <v>113600</v>
      </c>
      <c r="K66" s="68"/>
      <c r="L66" s="24"/>
      <c r="M66" s="24"/>
      <c r="N66" s="22" t="s">
        <v>155</v>
      </c>
      <c r="O66" s="70"/>
    </row>
    <row r="67" spans="1:15" x14ac:dyDescent="0.25">
      <c r="B67" s="44">
        <v>4</v>
      </c>
      <c r="C67" s="12" t="s">
        <v>440</v>
      </c>
      <c r="D67" s="71" t="s">
        <v>1551</v>
      </c>
      <c r="E67" s="71" t="s">
        <v>1550</v>
      </c>
      <c r="F67" s="70" t="s">
        <v>741</v>
      </c>
      <c r="G67" s="66">
        <v>46196</v>
      </c>
      <c r="H67" s="72"/>
      <c r="I67" s="22">
        <v>34278</v>
      </c>
      <c r="J67" s="73"/>
      <c r="K67" s="68"/>
      <c r="L67" s="24">
        <f>I67</f>
        <v>34278</v>
      </c>
      <c r="M67" s="24"/>
      <c r="N67" s="22" t="s">
        <v>155</v>
      </c>
      <c r="O67" s="70"/>
    </row>
    <row r="68" spans="1:15" ht="15.75" x14ac:dyDescent="0.25">
      <c r="A68" t="s">
        <v>3</v>
      </c>
      <c r="B68" s="169" t="s">
        <v>25</v>
      </c>
      <c r="C68" s="170"/>
      <c r="D68" s="170"/>
      <c r="E68" s="170"/>
      <c r="F68" s="170"/>
      <c r="G68" s="170"/>
      <c r="H68" s="170"/>
      <c r="I68" s="171"/>
      <c r="J68" s="76">
        <f>SUM(J64:J67)</f>
        <v>1935100</v>
      </c>
      <c r="K68" s="74">
        <f>SUM(K64:K67)</f>
        <v>0</v>
      </c>
      <c r="L68" s="60">
        <f>SUM(L64:L67)</f>
        <v>34278</v>
      </c>
      <c r="M68" s="60">
        <f>SUM(M64:M67)</f>
        <v>0</v>
      </c>
      <c r="N68" s="39"/>
      <c r="O68" s="75">
        <f>SUM(J68+K68+L68+M68)</f>
        <v>1969378</v>
      </c>
    </row>
    <row r="69" spans="1:15" x14ac:dyDescent="0.25">
      <c r="D69" s="57"/>
      <c r="I69" s="58"/>
      <c r="J69" s="58"/>
    </row>
    <row r="70" spans="1:15" ht="15.75" x14ac:dyDescent="0.25">
      <c r="D70" s="57"/>
      <c r="G70" s="162" t="s">
        <v>1646</v>
      </c>
      <c r="H70" s="162"/>
      <c r="I70" s="163"/>
      <c r="J70" s="25">
        <f>SUM(J68+J62)</f>
        <v>4831700</v>
      </c>
      <c r="K70" s="74">
        <f>SUM(K68+K62)</f>
        <v>0</v>
      </c>
      <c r="L70" s="60">
        <f>SUM(L68+L62)</f>
        <v>500258</v>
      </c>
      <c r="M70" s="60">
        <f>SUM(M68+M62)</f>
        <v>0</v>
      </c>
      <c r="N70" s="39"/>
      <c r="O70" s="77">
        <f>SUM(J70+K70+L70+M70)</f>
        <v>5331958</v>
      </c>
    </row>
    <row r="71" spans="1:15" ht="15.75" x14ac:dyDescent="0.25">
      <c r="D71" s="57"/>
      <c r="H71" s="41"/>
      <c r="I71" s="41"/>
      <c r="J71" s="41"/>
      <c r="K71" s="78"/>
      <c r="L71" s="78"/>
      <c r="M71" s="78"/>
      <c r="N71" s="79"/>
      <c r="O71" s="80"/>
    </row>
    <row r="72" spans="1:15" ht="15.75" x14ac:dyDescent="0.25">
      <c r="D72" s="57"/>
      <c r="H72" s="174" t="s">
        <v>27</v>
      </c>
      <c r="I72" s="175"/>
      <c r="J72" s="180" t="s">
        <v>14</v>
      </c>
      <c r="K72" s="180"/>
      <c r="L72" s="181" t="s">
        <v>15</v>
      </c>
      <c r="M72" s="181"/>
      <c r="N72" s="70"/>
      <c r="O72" s="182"/>
    </row>
    <row r="73" spans="1:15" ht="15.75" x14ac:dyDescent="0.25">
      <c r="D73" s="57"/>
      <c r="H73" s="176"/>
      <c r="I73" s="177"/>
      <c r="J73" s="6" t="s">
        <v>17</v>
      </c>
      <c r="K73" s="81" t="s">
        <v>18</v>
      </c>
      <c r="L73" s="82" t="s">
        <v>17</v>
      </c>
      <c r="M73" s="82" t="s">
        <v>18</v>
      </c>
      <c r="N73" s="70"/>
      <c r="O73" s="182"/>
    </row>
    <row r="74" spans="1:15" ht="15.75" x14ac:dyDescent="0.25">
      <c r="D74" s="57"/>
      <c r="H74" s="178"/>
      <c r="I74" s="179"/>
      <c r="J74" s="74">
        <f>SUM(J70+J49)</f>
        <v>10103600</v>
      </c>
      <c r="K74" s="74">
        <f>SUM(K70+K49)</f>
        <v>13344700</v>
      </c>
      <c r="L74" s="60">
        <f>SUM(L70+L49)</f>
        <v>8937453</v>
      </c>
      <c r="M74" s="60">
        <f>SUM(M70+M49)</f>
        <v>63800</v>
      </c>
      <c r="N74" s="39"/>
      <c r="O74" s="182"/>
    </row>
    <row r="75" spans="1:15" x14ac:dyDescent="0.25">
      <c r="D75" s="57"/>
      <c r="I75" s="58"/>
      <c r="J75" s="58"/>
    </row>
    <row r="76" spans="1:15" ht="18.75" x14ac:dyDescent="0.3">
      <c r="D76" s="57"/>
      <c r="H76" s="183"/>
      <c r="I76" s="183"/>
      <c r="J76" s="83"/>
      <c r="L76" s="184" t="s">
        <v>28</v>
      </c>
      <c r="M76" s="185"/>
      <c r="N76" s="84">
        <f>SUM(J74+L74)</f>
        <v>19041053</v>
      </c>
      <c r="O76" s="186">
        <f>SUM(N76+N77)</f>
        <v>32449553</v>
      </c>
    </row>
    <row r="77" spans="1:15" ht="18.75" x14ac:dyDescent="0.3">
      <c r="D77" s="57"/>
      <c r="H77" s="183"/>
      <c r="I77" s="183"/>
      <c r="J77" s="83"/>
      <c r="L77" s="184" t="s">
        <v>29</v>
      </c>
      <c r="M77" s="185"/>
      <c r="N77" s="84">
        <f>SUM(K74+M74)</f>
        <v>13408500</v>
      </c>
      <c r="O77" s="187"/>
    </row>
    <row r="78" spans="1:15" ht="18.75" x14ac:dyDescent="0.3">
      <c r="D78" s="57"/>
      <c r="H78" s="168"/>
      <c r="I78" s="168"/>
      <c r="J78" s="85"/>
      <c r="K78" s="86"/>
    </row>
    <row r="79" spans="1:15" x14ac:dyDescent="0.25">
      <c r="D79" s="2" t="s">
        <v>30</v>
      </c>
      <c r="E79" s="1"/>
      <c r="F79" s="1"/>
      <c r="G79" s="1"/>
      <c r="H79" s="1"/>
      <c r="I79" s="1"/>
      <c r="J79" s="1"/>
      <c r="K79" s="1"/>
    </row>
    <row r="80" spans="1:15" x14ac:dyDescent="0.25">
      <c r="D80" s="2"/>
      <c r="E80" s="1"/>
      <c r="F80" s="1"/>
      <c r="G80" s="1"/>
      <c r="H80" s="1"/>
      <c r="I80" s="1"/>
      <c r="J80" s="1"/>
      <c r="K80" s="1"/>
    </row>
    <row r="81" spans="4:11" x14ac:dyDescent="0.25">
      <c r="D81" s="3" t="s">
        <v>31</v>
      </c>
      <c r="E81" s="3"/>
      <c r="F81" s="3" t="s">
        <v>32</v>
      </c>
      <c r="G81" s="3"/>
      <c r="H81" s="3" t="s">
        <v>33</v>
      </c>
      <c r="I81" s="3"/>
      <c r="J81" s="3" t="s">
        <v>34</v>
      </c>
      <c r="K81" s="3"/>
    </row>
    <row r="82" spans="4:11" x14ac:dyDescent="0.25">
      <c r="D82" s="3"/>
      <c r="E82" s="3"/>
      <c r="F82" s="3"/>
      <c r="G82" s="3"/>
      <c r="H82" s="3"/>
      <c r="I82" s="3"/>
      <c r="J82" s="3"/>
      <c r="K82" s="3"/>
    </row>
    <row r="83" spans="4:11" x14ac:dyDescent="0.25">
      <c r="D83" s="3"/>
      <c r="E83" s="3"/>
      <c r="F83" s="3"/>
      <c r="G83" s="3"/>
      <c r="H83" s="3"/>
      <c r="I83" s="3"/>
      <c r="J83" s="3"/>
      <c r="K83" s="3"/>
    </row>
    <row r="84" spans="4:11" x14ac:dyDescent="0.25">
      <c r="D84" s="3"/>
      <c r="E84" s="3"/>
      <c r="F84" s="3"/>
      <c r="G84" s="3"/>
      <c r="H84" s="3"/>
      <c r="I84" s="3"/>
      <c r="J84" s="3"/>
      <c r="K84" s="3"/>
    </row>
    <row r="85" spans="4:11" x14ac:dyDescent="0.25">
      <c r="D85" s="3" t="s">
        <v>35</v>
      </c>
      <c r="E85" s="3"/>
      <c r="F85" s="3" t="s">
        <v>36</v>
      </c>
      <c r="G85" s="3"/>
      <c r="H85" s="3" t="s">
        <v>36</v>
      </c>
      <c r="I85" s="3"/>
      <c r="J85" s="3" t="s">
        <v>37</v>
      </c>
      <c r="K85" s="3"/>
    </row>
    <row r="86" spans="4:11" x14ac:dyDescent="0.25">
      <c r="D86" s="57"/>
    </row>
    <row r="87" spans="4:11" x14ac:dyDescent="0.25">
      <c r="D87" s="57"/>
    </row>
    <row r="88" spans="4:11" x14ac:dyDescent="0.25">
      <c r="D88" s="57"/>
    </row>
    <row r="89" spans="4:11" x14ac:dyDescent="0.25">
      <c r="D89" s="57"/>
    </row>
    <row r="90" spans="4:11" x14ac:dyDescent="0.25">
      <c r="D90" s="57"/>
    </row>
  </sheetData>
  <mergeCells count="48">
    <mergeCell ref="O52:O53"/>
    <mergeCell ref="J53:K53"/>
    <mergeCell ref="L53:M53"/>
    <mergeCell ref="H78:I78"/>
    <mergeCell ref="B62:I62"/>
    <mergeCell ref="B63:O63"/>
    <mergeCell ref="B68:I68"/>
    <mergeCell ref="H72:I74"/>
    <mergeCell ref="J72:K72"/>
    <mergeCell ref="L72:M72"/>
    <mergeCell ref="O72:O74"/>
    <mergeCell ref="H76:I76"/>
    <mergeCell ref="L76:M76"/>
    <mergeCell ref="O76:O77"/>
    <mergeCell ref="H77:I77"/>
    <mergeCell ref="L77:M77"/>
    <mergeCell ref="L7:M7"/>
    <mergeCell ref="G52:G53"/>
    <mergeCell ref="B21:O21"/>
    <mergeCell ref="B35:I35"/>
    <mergeCell ref="B36:O36"/>
    <mergeCell ref="B46:I46"/>
    <mergeCell ref="G49:I49"/>
    <mergeCell ref="B51:D51"/>
    <mergeCell ref="B52:B53"/>
    <mergeCell ref="C52:C53"/>
    <mergeCell ref="D52:D53"/>
    <mergeCell ref="E52:E53"/>
    <mergeCell ref="F52:F53"/>
    <mergeCell ref="H52:H53"/>
    <mergeCell ref="I52:I53"/>
    <mergeCell ref="J52:N52"/>
    <mergeCell ref="G70:I70"/>
    <mergeCell ref="B20:I20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752E-764E-4A76-B01E-0604D96012A9}">
  <dimension ref="A2:Q85"/>
  <sheetViews>
    <sheetView topLeftCell="A49" workbookViewId="0">
      <selection activeCell="G65" sqref="G65:I65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5.285156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1554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1555</v>
      </c>
      <c r="E9" s="14" t="s">
        <v>1556</v>
      </c>
      <c r="F9" s="15" t="s">
        <v>65</v>
      </c>
      <c r="G9" s="16">
        <v>46168</v>
      </c>
      <c r="H9" s="16">
        <v>46181</v>
      </c>
      <c r="I9" s="23">
        <v>430200</v>
      </c>
      <c r="J9" s="18">
        <f t="shared" ref="J9:J16" si="0">I9</f>
        <v>430200</v>
      </c>
      <c r="K9" s="19"/>
      <c r="L9" s="24"/>
      <c r="M9" s="24"/>
      <c r="N9" s="22" t="s">
        <v>155</v>
      </c>
      <c r="O9" s="22"/>
    </row>
    <row r="10" spans="2:17" x14ac:dyDescent="0.25">
      <c r="B10" s="11">
        <v>2</v>
      </c>
      <c r="C10" s="12"/>
      <c r="D10" s="13" t="s">
        <v>1557</v>
      </c>
      <c r="E10" s="14" t="s">
        <v>799</v>
      </c>
      <c r="F10" s="15" t="s">
        <v>800</v>
      </c>
      <c r="G10" s="16">
        <v>46184</v>
      </c>
      <c r="H10" s="16">
        <v>46197</v>
      </c>
      <c r="I10" s="23">
        <v>215100</v>
      </c>
      <c r="J10" s="18">
        <f t="shared" si="0"/>
        <v>215100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1558</v>
      </c>
      <c r="E11" s="14" t="s">
        <v>875</v>
      </c>
      <c r="F11" s="15" t="s">
        <v>876</v>
      </c>
      <c r="G11" s="16">
        <v>46184</v>
      </c>
      <c r="H11" s="16">
        <v>46197</v>
      </c>
      <c r="I11" s="23">
        <v>442300</v>
      </c>
      <c r="J11" s="18">
        <f t="shared" si="0"/>
        <v>442300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1559</v>
      </c>
      <c r="E12" s="14" t="s">
        <v>813</v>
      </c>
      <c r="F12" s="15" t="s">
        <v>814</v>
      </c>
      <c r="G12" s="16">
        <v>46184</v>
      </c>
      <c r="H12" s="16">
        <v>46197</v>
      </c>
      <c r="I12" s="23">
        <v>872500</v>
      </c>
      <c r="J12" s="18">
        <f t="shared" si="0"/>
        <v>872500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1560</v>
      </c>
      <c r="E13" s="14" t="s">
        <v>810</v>
      </c>
      <c r="F13" s="15" t="s">
        <v>1561</v>
      </c>
      <c r="G13" s="16">
        <v>46184</v>
      </c>
      <c r="H13" s="16">
        <v>46197</v>
      </c>
      <c r="I13" s="23">
        <v>430200</v>
      </c>
      <c r="J13" s="18">
        <f t="shared" si="0"/>
        <v>430200</v>
      </c>
      <c r="K13" s="19"/>
      <c r="L13" s="24"/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1562</v>
      </c>
      <c r="E14" s="14" t="s">
        <v>1563</v>
      </c>
      <c r="F14" s="15" t="s">
        <v>881</v>
      </c>
      <c r="G14" s="16">
        <v>46184</v>
      </c>
      <c r="H14" s="16">
        <v>46197</v>
      </c>
      <c r="I14" s="23">
        <v>543800</v>
      </c>
      <c r="J14" s="18">
        <f t="shared" si="0"/>
        <v>543800</v>
      </c>
      <c r="K14" s="19"/>
      <c r="L14" s="24"/>
      <c r="M14" s="24"/>
      <c r="N14" s="22" t="s">
        <v>155</v>
      </c>
      <c r="O14" s="22"/>
    </row>
    <row r="15" spans="2:17" x14ac:dyDescent="0.25">
      <c r="B15" s="11">
        <v>7</v>
      </c>
      <c r="C15" s="12"/>
      <c r="D15" s="13" t="s">
        <v>1564</v>
      </c>
      <c r="E15" s="14" t="s">
        <v>804</v>
      </c>
      <c r="F15" s="15" t="s">
        <v>805</v>
      </c>
      <c r="G15" s="16">
        <v>46184</v>
      </c>
      <c r="H15" s="16">
        <v>46197</v>
      </c>
      <c r="I15" s="23">
        <v>872500</v>
      </c>
      <c r="J15" s="18">
        <f t="shared" si="0"/>
        <v>872500</v>
      </c>
      <c r="K15" s="19"/>
      <c r="L15" s="24"/>
      <c r="M15" s="24"/>
      <c r="N15" s="22" t="s">
        <v>155</v>
      </c>
      <c r="O15" s="22"/>
    </row>
    <row r="16" spans="2:17" x14ac:dyDescent="0.25">
      <c r="B16" s="11">
        <v>8</v>
      </c>
      <c r="C16" s="12"/>
      <c r="D16" s="13" t="s">
        <v>1565</v>
      </c>
      <c r="E16" s="14" t="s">
        <v>807</v>
      </c>
      <c r="F16" s="15" t="s">
        <v>808</v>
      </c>
      <c r="G16" s="16">
        <v>46184</v>
      </c>
      <c r="H16" s="16">
        <v>46197</v>
      </c>
      <c r="I16" s="23">
        <v>986100</v>
      </c>
      <c r="J16" s="18">
        <f t="shared" si="0"/>
        <v>986100</v>
      </c>
      <c r="K16" s="19"/>
      <c r="L16" s="24"/>
      <c r="M16" s="24"/>
      <c r="N16" s="22" t="s">
        <v>155</v>
      </c>
      <c r="O16" s="22"/>
    </row>
    <row r="17" spans="2:15" x14ac:dyDescent="0.25">
      <c r="B17" s="11">
        <v>9</v>
      </c>
      <c r="C17" s="12"/>
      <c r="D17" s="13" t="s">
        <v>1566</v>
      </c>
      <c r="E17" s="14" t="s">
        <v>1556</v>
      </c>
      <c r="F17" s="15" t="s">
        <v>65</v>
      </c>
      <c r="G17" s="16">
        <v>46168</v>
      </c>
      <c r="H17" s="16">
        <v>46181</v>
      </c>
      <c r="I17" s="23">
        <v>160000</v>
      </c>
      <c r="J17" s="18"/>
      <c r="K17" s="19"/>
      <c r="L17" s="24">
        <f t="shared" ref="L17:L23" si="1">I17</f>
        <v>160000</v>
      </c>
      <c r="M17" s="24"/>
      <c r="N17" s="22" t="s">
        <v>155</v>
      </c>
      <c r="O17" s="22"/>
    </row>
    <row r="18" spans="2:15" x14ac:dyDescent="0.25">
      <c r="B18" s="11">
        <v>10</v>
      </c>
      <c r="C18" s="12"/>
      <c r="D18" s="13" t="s">
        <v>1567</v>
      </c>
      <c r="E18" s="14" t="s">
        <v>1563</v>
      </c>
      <c r="F18" s="15" t="s">
        <v>881</v>
      </c>
      <c r="G18" s="16">
        <v>46184</v>
      </c>
      <c r="H18" s="16">
        <v>46197</v>
      </c>
      <c r="I18" s="23">
        <v>117140</v>
      </c>
      <c r="J18" s="18"/>
      <c r="K18" s="19"/>
      <c r="L18" s="24">
        <f t="shared" si="1"/>
        <v>117140</v>
      </c>
      <c r="M18" s="24"/>
      <c r="N18" s="22" t="s">
        <v>155</v>
      </c>
      <c r="O18" s="22"/>
    </row>
    <row r="19" spans="2:15" x14ac:dyDescent="0.25">
      <c r="B19" s="11">
        <v>11</v>
      </c>
      <c r="C19" s="12"/>
      <c r="D19" s="13" t="s">
        <v>1568</v>
      </c>
      <c r="E19" s="14" t="s">
        <v>807</v>
      </c>
      <c r="F19" s="15" t="s">
        <v>808</v>
      </c>
      <c r="G19" s="16">
        <v>46184</v>
      </c>
      <c r="H19" s="16">
        <v>46197</v>
      </c>
      <c r="I19" s="23">
        <v>1647780</v>
      </c>
      <c r="J19" s="18"/>
      <c r="K19" s="19"/>
      <c r="L19" s="24">
        <f t="shared" si="1"/>
        <v>1647780</v>
      </c>
      <c r="M19" s="24"/>
      <c r="N19" s="22" t="s">
        <v>155</v>
      </c>
      <c r="O19" s="22"/>
    </row>
    <row r="20" spans="2:15" x14ac:dyDescent="0.25">
      <c r="B20" s="11">
        <v>12</v>
      </c>
      <c r="C20" s="12"/>
      <c r="D20" s="13" t="s">
        <v>1569</v>
      </c>
      <c r="E20" s="14" t="s">
        <v>804</v>
      </c>
      <c r="F20" s="15" t="s">
        <v>805</v>
      </c>
      <c r="G20" s="16">
        <v>46184</v>
      </c>
      <c r="H20" s="16">
        <v>46197</v>
      </c>
      <c r="I20" s="23">
        <v>342780</v>
      </c>
      <c r="J20" s="18"/>
      <c r="K20" s="19"/>
      <c r="L20" s="24">
        <f t="shared" si="1"/>
        <v>342780</v>
      </c>
      <c r="M20" s="24"/>
      <c r="N20" s="22" t="s">
        <v>155</v>
      </c>
      <c r="O20" s="22"/>
    </row>
    <row r="21" spans="2:15" x14ac:dyDescent="0.25">
      <c r="B21" s="11">
        <v>13</v>
      </c>
      <c r="C21" s="12"/>
      <c r="D21" s="13" t="s">
        <v>1570</v>
      </c>
      <c r="E21" s="14" t="s">
        <v>799</v>
      </c>
      <c r="F21" s="15" t="s">
        <v>800</v>
      </c>
      <c r="G21" s="16">
        <v>46184</v>
      </c>
      <c r="H21" s="16">
        <v>46197</v>
      </c>
      <c r="I21" s="23">
        <v>609000</v>
      </c>
      <c r="J21" s="18"/>
      <c r="K21" s="19"/>
      <c r="L21" s="24">
        <v>200000</v>
      </c>
      <c r="M21" s="24"/>
      <c r="N21" s="22" t="s">
        <v>158</v>
      </c>
      <c r="O21" s="22"/>
    </row>
    <row r="22" spans="2:15" x14ac:dyDescent="0.25">
      <c r="B22" s="11">
        <v>14</v>
      </c>
      <c r="C22" s="12"/>
      <c r="D22" s="13" t="s">
        <v>1571</v>
      </c>
      <c r="E22" s="14" t="s">
        <v>823</v>
      </c>
      <c r="F22" s="15" t="s">
        <v>333</v>
      </c>
      <c r="G22" s="16">
        <v>46184</v>
      </c>
      <c r="H22" s="16">
        <v>46197</v>
      </c>
      <c r="I22" s="23">
        <v>1084500</v>
      </c>
      <c r="J22" s="18"/>
      <c r="K22" s="19"/>
      <c r="L22" s="24">
        <f t="shared" si="1"/>
        <v>1084500</v>
      </c>
      <c r="M22" s="24"/>
      <c r="N22" s="22" t="s">
        <v>155</v>
      </c>
      <c r="O22" s="22"/>
    </row>
    <row r="23" spans="2:15" x14ac:dyDescent="0.25">
      <c r="B23" s="11">
        <v>15</v>
      </c>
      <c r="C23" s="12"/>
      <c r="D23" s="13" t="s">
        <v>1572</v>
      </c>
      <c r="E23" s="14" t="s">
        <v>875</v>
      </c>
      <c r="F23" s="15" t="s">
        <v>876</v>
      </c>
      <c r="G23" s="16">
        <v>46184</v>
      </c>
      <c r="H23" s="16">
        <v>46197</v>
      </c>
      <c r="I23" s="23">
        <v>80000</v>
      </c>
      <c r="J23" s="18"/>
      <c r="K23" s="19"/>
      <c r="L23" s="24">
        <f t="shared" si="1"/>
        <v>80000</v>
      </c>
      <c r="M23" s="24"/>
      <c r="N23" s="22" t="s">
        <v>155</v>
      </c>
      <c r="O23" s="22"/>
    </row>
    <row r="24" spans="2:15" ht="15.75" x14ac:dyDescent="0.25">
      <c r="B24" s="169" t="s">
        <v>13</v>
      </c>
      <c r="C24" s="170"/>
      <c r="D24" s="170"/>
      <c r="E24" s="170"/>
      <c r="F24" s="170"/>
      <c r="G24" s="170"/>
      <c r="H24" s="170"/>
      <c r="I24" s="171"/>
      <c r="J24" s="25">
        <f>SUM(J9:J23)</f>
        <v>4792700</v>
      </c>
      <c r="K24" s="26">
        <f>SUM(K9:K23)</f>
        <v>0</v>
      </c>
      <c r="L24" s="27">
        <f>SUM(L9:L23)</f>
        <v>3632200</v>
      </c>
      <c r="M24" s="28">
        <f>SUM(M9:M23)</f>
        <v>0</v>
      </c>
      <c r="N24" s="29"/>
      <c r="O24" s="30">
        <f>SUM(J24+K24+L24+M24)</f>
        <v>8424900</v>
      </c>
    </row>
    <row r="25" spans="2:15" ht="15.75" x14ac:dyDescent="0.25">
      <c r="B25" s="190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</row>
    <row r="26" spans="2:15" x14ac:dyDescent="0.25">
      <c r="B26" s="11">
        <v>1</v>
      </c>
      <c r="C26" s="31" t="s">
        <v>20</v>
      </c>
      <c r="D26" s="13" t="s">
        <v>1573</v>
      </c>
      <c r="E26" s="32" t="s">
        <v>1574</v>
      </c>
      <c r="F26" s="33" t="s">
        <v>756</v>
      </c>
      <c r="G26" s="34">
        <v>46170</v>
      </c>
      <c r="H26" s="35">
        <v>46183</v>
      </c>
      <c r="I26" s="36">
        <v>543800</v>
      </c>
      <c r="J26" s="37">
        <f t="shared" ref="J26:J30" si="2">I26</f>
        <v>543800</v>
      </c>
      <c r="K26" s="19"/>
      <c r="L26" s="24"/>
      <c r="M26" s="24"/>
      <c r="N26" s="22" t="s">
        <v>155</v>
      </c>
      <c r="O26" s="22"/>
    </row>
    <row r="27" spans="2:15" x14ac:dyDescent="0.25">
      <c r="B27" s="11">
        <v>2</v>
      </c>
      <c r="C27" s="31"/>
      <c r="D27" s="13" t="s">
        <v>1514</v>
      </c>
      <c r="E27" s="32" t="s">
        <v>758</v>
      </c>
      <c r="F27" s="33" t="s">
        <v>756</v>
      </c>
      <c r="G27" s="34">
        <v>46183</v>
      </c>
      <c r="H27" s="35">
        <v>46196</v>
      </c>
      <c r="I27" s="36">
        <v>400000</v>
      </c>
      <c r="J27" s="37">
        <f t="shared" si="2"/>
        <v>400000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3</v>
      </c>
      <c r="C28" s="31"/>
      <c r="D28" s="13" t="s">
        <v>1575</v>
      </c>
      <c r="E28" s="32" t="s">
        <v>831</v>
      </c>
      <c r="F28" s="33" t="s">
        <v>832</v>
      </c>
      <c r="G28" s="34">
        <v>46184</v>
      </c>
      <c r="H28" s="35">
        <v>46197</v>
      </c>
      <c r="I28" s="36">
        <v>215100</v>
      </c>
      <c r="J28" s="37">
        <f t="shared" si="2"/>
        <v>215100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4</v>
      </c>
      <c r="C29" s="31"/>
      <c r="D29" s="13" t="s">
        <v>1576</v>
      </c>
      <c r="E29" s="32" t="s">
        <v>837</v>
      </c>
      <c r="F29" s="33" t="s">
        <v>41</v>
      </c>
      <c r="G29" s="34">
        <v>46184</v>
      </c>
      <c r="H29" s="35">
        <v>46197</v>
      </c>
      <c r="I29" s="36">
        <v>430200</v>
      </c>
      <c r="J29" s="37">
        <f t="shared" si="2"/>
        <v>430200</v>
      </c>
      <c r="K29" s="19"/>
      <c r="L29" s="24"/>
      <c r="M29" s="24"/>
      <c r="N29" s="22" t="s">
        <v>155</v>
      </c>
      <c r="O29" s="22"/>
    </row>
    <row r="30" spans="2:15" x14ac:dyDescent="0.25">
      <c r="B30" s="11">
        <v>5</v>
      </c>
      <c r="C30" s="31"/>
      <c r="D30" s="13" t="s">
        <v>1577</v>
      </c>
      <c r="E30" s="32" t="s">
        <v>839</v>
      </c>
      <c r="F30" s="33" t="s">
        <v>41</v>
      </c>
      <c r="G30" s="34">
        <v>46184</v>
      </c>
      <c r="H30" s="35">
        <v>46197</v>
      </c>
      <c r="I30" s="36">
        <v>430200</v>
      </c>
      <c r="J30" s="37">
        <f t="shared" si="2"/>
        <v>430200</v>
      </c>
      <c r="K30" s="19"/>
      <c r="L30" s="24"/>
      <c r="M30" s="24"/>
      <c r="N30" s="22" t="s">
        <v>155</v>
      </c>
      <c r="O30" s="22"/>
    </row>
    <row r="31" spans="2:15" x14ac:dyDescent="0.25">
      <c r="B31" s="11">
        <v>6</v>
      </c>
      <c r="C31" s="31"/>
      <c r="D31" s="13" t="s">
        <v>1578</v>
      </c>
      <c r="E31" s="32" t="s">
        <v>1574</v>
      </c>
      <c r="F31" s="33" t="s">
        <v>756</v>
      </c>
      <c r="G31" s="34">
        <v>46170</v>
      </c>
      <c r="H31" s="35">
        <v>46183</v>
      </c>
      <c r="I31" s="36">
        <v>87000</v>
      </c>
      <c r="J31" s="37"/>
      <c r="K31" s="19"/>
      <c r="L31" s="24">
        <f>I31</f>
        <v>87000</v>
      </c>
      <c r="M31" s="24"/>
      <c r="N31" s="22" t="s">
        <v>155</v>
      </c>
      <c r="O31" s="22"/>
    </row>
    <row r="32" spans="2:15" x14ac:dyDescent="0.25">
      <c r="B32" s="11">
        <v>7</v>
      </c>
      <c r="C32" s="31"/>
      <c r="D32" s="13" t="s">
        <v>1579</v>
      </c>
      <c r="E32" s="32" t="s">
        <v>494</v>
      </c>
      <c r="F32" s="33" t="s">
        <v>268</v>
      </c>
      <c r="G32" s="34">
        <v>46170</v>
      </c>
      <c r="H32" s="35">
        <v>46183</v>
      </c>
      <c r="I32" s="36">
        <v>435000</v>
      </c>
      <c r="J32" s="37"/>
      <c r="K32" s="19"/>
      <c r="L32" s="24">
        <f t="shared" ref="L32:L34" si="3">I32</f>
        <v>435000</v>
      </c>
      <c r="M32" s="24"/>
      <c r="N32" s="22" t="s">
        <v>155</v>
      </c>
      <c r="O32" s="22"/>
    </row>
    <row r="33" spans="2:15" x14ac:dyDescent="0.25">
      <c r="B33" s="11">
        <v>8</v>
      </c>
      <c r="C33" s="31"/>
      <c r="D33" s="13" t="s">
        <v>1580</v>
      </c>
      <c r="E33" s="32" t="s">
        <v>831</v>
      </c>
      <c r="F33" s="33" t="s">
        <v>832</v>
      </c>
      <c r="G33" s="34">
        <v>46184</v>
      </c>
      <c r="H33" s="35">
        <v>46197</v>
      </c>
      <c r="I33" s="36">
        <v>127556</v>
      </c>
      <c r="J33" s="37"/>
      <c r="K33" s="19"/>
      <c r="L33" s="24">
        <f t="shared" si="3"/>
        <v>127556</v>
      </c>
      <c r="M33" s="24"/>
      <c r="N33" s="22" t="s">
        <v>155</v>
      </c>
      <c r="O33" s="22"/>
    </row>
    <row r="34" spans="2:15" x14ac:dyDescent="0.25">
      <c r="B34" s="11">
        <v>9</v>
      </c>
      <c r="C34" s="31"/>
      <c r="D34" s="13" t="s">
        <v>1581</v>
      </c>
      <c r="E34" s="32" t="s">
        <v>287</v>
      </c>
      <c r="F34" s="33" t="s">
        <v>268</v>
      </c>
      <c r="G34" s="34">
        <v>46184</v>
      </c>
      <c r="H34" s="35">
        <v>46197</v>
      </c>
      <c r="I34" s="36">
        <v>435000</v>
      </c>
      <c r="J34" s="37"/>
      <c r="K34" s="19"/>
      <c r="L34" s="24">
        <f t="shared" si="3"/>
        <v>435000</v>
      </c>
      <c r="M34" s="24"/>
      <c r="N34" s="22" t="s">
        <v>155</v>
      </c>
      <c r="O34" s="22"/>
    </row>
    <row r="35" spans="2:15" ht="15.75" x14ac:dyDescent="0.25">
      <c r="B35" s="192" t="s">
        <v>13</v>
      </c>
      <c r="C35" s="193"/>
      <c r="D35" s="193"/>
      <c r="E35" s="193"/>
      <c r="F35" s="193"/>
      <c r="G35" s="193"/>
      <c r="H35" s="193"/>
      <c r="I35" s="194"/>
      <c r="J35" s="38">
        <f>SUM(J26:J34)</f>
        <v>2019300</v>
      </c>
      <c r="K35" s="26">
        <f>SUM(K26:K34)</f>
        <v>0</v>
      </c>
      <c r="L35" s="27">
        <f>SUM(L26:L34)</f>
        <v>1084556</v>
      </c>
      <c r="M35" s="27">
        <f>SUM(M26:M34)</f>
        <v>0</v>
      </c>
      <c r="N35" s="39"/>
      <c r="O35" s="40">
        <f>SUM(J35+K35+L35+M35)</f>
        <v>3103856</v>
      </c>
    </row>
    <row r="36" spans="2:15" ht="15.75" x14ac:dyDescent="0.25">
      <c r="B36" s="195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</row>
    <row r="37" spans="2:15" ht="15.75" x14ac:dyDescent="0.25">
      <c r="B37" s="42">
        <v>1</v>
      </c>
      <c r="C37" s="43" t="s">
        <v>21</v>
      </c>
      <c r="D37" s="44" t="s">
        <v>1582</v>
      </c>
      <c r="E37" s="45" t="s">
        <v>1050</v>
      </c>
      <c r="F37" s="45" t="s">
        <v>859</v>
      </c>
      <c r="G37" s="46">
        <v>46184</v>
      </c>
      <c r="H37" s="46">
        <v>46197</v>
      </c>
      <c r="I37" s="47">
        <v>430200</v>
      </c>
      <c r="J37" s="48">
        <f t="shared" ref="J37:J38" si="4">I37</f>
        <v>430200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2</v>
      </c>
      <c r="C38" s="43"/>
      <c r="D38" s="44" t="s">
        <v>1583</v>
      </c>
      <c r="E38" s="45" t="s">
        <v>853</v>
      </c>
      <c r="F38" s="45" t="s">
        <v>854</v>
      </c>
      <c r="G38" s="46">
        <v>46184</v>
      </c>
      <c r="H38" s="46">
        <v>46197</v>
      </c>
      <c r="I38" s="47">
        <v>215100</v>
      </c>
      <c r="J38" s="48">
        <f t="shared" si="4"/>
        <v>215100</v>
      </c>
      <c r="K38" s="49"/>
      <c r="L38" s="50"/>
      <c r="M38" s="50"/>
      <c r="N38" s="22" t="s">
        <v>155</v>
      </c>
      <c r="O38" s="42"/>
    </row>
    <row r="39" spans="2:15" ht="15.75" x14ac:dyDescent="0.25">
      <c r="B39" s="42">
        <v>3</v>
      </c>
      <c r="C39" s="43"/>
      <c r="D39" s="44" t="s">
        <v>1584</v>
      </c>
      <c r="E39" s="45" t="s">
        <v>853</v>
      </c>
      <c r="F39" s="45" t="s">
        <v>854</v>
      </c>
      <c r="G39" s="46">
        <v>46184</v>
      </c>
      <c r="H39" s="46">
        <v>46197</v>
      </c>
      <c r="I39" s="47">
        <v>47056</v>
      </c>
      <c r="J39" s="48"/>
      <c r="K39" s="49"/>
      <c r="L39" s="51">
        <f>I39</f>
        <v>47056</v>
      </c>
      <c r="M39" s="50"/>
      <c r="N39" s="22" t="s">
        <v>155</v>
      </c>
      <c r="O39" s="42"/>
    </row>
    <row r="40" spans="2:15" ht="15.75" x14ac:dyDescent="0.25">
      <c r="B40" s="42">
        <v>4</v>
      </c>
      <c r="C40" s="43"/>
      <c r="D40" s="44" t="s">
        <v>1585</v>
      </c>
      <c r="E40" s="45" t="s">
        <v>858</v>
      </c>
      <c r="F40" s="45" t="s">
        <v>859</v>
      </c>
      <c r="G40" s="46">
        <v>46184</v>
      </c>
      <c r="H40" s="46">
        <v>46197</v>
      </c>
      <c r="I40" s="47">
        <v>1764000</v>
      </c>
      <c r="J40" s="48"/>
      <c r="K40" s="49"/>
      <c r="L40" s="51">
        <f t="shared" ref="L40:L41" si="5">I40</f>
        <v>1764000</v>
      </c>
      <c r="M40" s="50"/>
      <c r="N40" s="22" t="s">
        <v>155</v>
      </c>
      <c r="O40" s="42"/>
    </row>
    <row r="41" spans="2:15" ht="15.75" x14ac:dyDescent="0.25">
      <c r="B41" s="42">
        <v>5</v>
      </c>
      <c r="C41" s="43"/>
      <c r="D41" s="44" t="s">
        <v>1586</v>
      </c>
      <c r="E41" s="45" t="s">
        <v>621</v>
      </c>
      <c r="F41" s="45" t="s">
        <v>423</v>
      </c>
      <c r="G41" s="46">
        <v>46184</v>
      </c>
      <c r="H41" s="46">
        <v>46197</v>
      </c>
      <c r="I41" s="47">
        <v>435000</v>
      </c>
      <c r="J41" s="48"/>
      <c r="K41" s="49"/>
      <c r="L41" s="51">
        <f t="shared" si="5"/>
        <v>435000</v>
      </c>
      <c r="M41" s="50"/>
      <c r="N41" s="22" t="s">
        <v>155</v>
      </c>
      <c r="O41" s="42"/>
    </row>
    <row r="42" spans="2:15" ht="15.75" x14ac:dyDescent="0.25">
      <c r="B42" s="197" t="s">
        <v>13</v>
      </c>
      <c r="C42" s="198"/>
      <c r="D42" s="198"/>
      <c r="E42" s="198"/>
      <c r="F42" s="198"/>
      <c r="G42" s="198"/>
      <c r="H42" s="198"/>
      <c r="I42" s="199"/>
      <c r="J42" s="52">
        <f>SUM(J37:J41)</f>
        <v>645300</v>
      </c>
      <c r="K42" s="53">
        <f>SUM(K37:K41)</f>
        <v>0</v>
      </c>
      <c r="L42" s="54">
        <f>SUM(L37:L41)</f>
        <v>2246056</v>
      </c>
      <c r="M42" s="54">
        <f>SUM(M37:M41)</f>
        <v>0</v>
      </c>
      <c r="N42" s="55"/>
      <c r="O42" s="56">
        <f>SUM(J42+K42+L42+M42)</f>
        <v>2891356</v>
      </c>
    </row>
    <row r="43" spans="2:15" x14ac:dyDescent="0.25">
      <c r="D43" s="57"/>
      <c r="I43" s="58"/>
      <c r="J43" s="58"/>
    </row>
    <row r="44" spans="2:15" x14ac:dyDescent="0.25">
      <c r="D44" s="57"/>
      <c r="I44" s="58"/>
      <c r="J44" s="58"/>
    </row>
    <row r="45" spans="2:15" ht="15.75" x14ac:dyDescent="0.25">
      <c r="D45" s="57"/>
      <c r="G45" s="200" t="s">
        <v>22</v>
      </c>
      <c r="H45" s="200"/>
      <c r="I45" s="200"/>
      <c r="J45" s="59">
        <f>SUM(J42+J35+J24)</f>
        <v>7457300</v>
      </c>
      <c r="K45" s="26">
        <f>SUM(K42+K35+K24)</f>
        <v>0</v>
      </c>
      <c r="L45" s="60">
        <f>SUM(L42+L35+L24)</f>
        <v>6962812</v>
      </c>
      <c r="M45" s="60">
        <f>SUM(M42+M35+M24)</f>
        <v>0</v>
      </c>
      <c r="N45" s="39"/>
      <c r="O45" s="30">
        <f>SUM(J45+K45+L45+M45)</f>
        <v>14420112</v>
      </c>
    </row>
    <row r="46" spans="2:15" x14ac:dyDescent="0.25">
      <c r="D46" s="57"/>
      <c r="I46" s="58"/>
      <c r="J46" s="58"/>
    </row>
    <row r="47" spans="2:15" x14ac:dyDescent="0.25">
      <c r="B47" s="201" t="s">
        <v>1601</v>
      </c>
      <c r="C47" s="201"/>
      <c r="D47" s="201"/>
      <c r="I47" s="58"/>
      <c r="J47" s="58"/>
    </row>
    <row r="48" spans="2:15" ht="15.75" x14ac:dyDescent="0.25">
      <c r="B48" s="188" t="s">
        <v>4</v>
      </c>
      <c r="C48" s="202" t="s">
        <v>23</v>
      </c>
      <c r="D48" s="188" t="s">
        <v>6</v>
      </c>
      <c r="E48" s="188" t="s">
        <v>7</v>
      </c>
      <c r="F48" s="188" t="s">
        <v>8</v>
      </c>
      <c r="G48" s="188" t="s">
        <v>9</v>
      </c>
      <c r="H48" s="188" t="s">
        <v>10</v>
      </c>
      <c r="I48" s="202" t="s">
        <v>24</v>
      </c>
      <c r="J48" s="169" t="s">
        <v>12</v>
      </c>
      <c r="K48" s="170"/>
      <c r="L48" s="170"/>
      <c r="M48" s="170"/>
      <c r="N48" s="171"/>
      <c r="O48" s="204" t="s">
        <v>13</v>
      </c>
    </row>
    <row r="49" spans="1:15" ht="15.75" x14ac:dyDescent="0.25">
      <c r="B49" s="189"/>
      <c r="C49" s="203"/>
      <c r="D49" s="189"/>
      <c r="E49" s="189"/>
      <c r="F49" s="189"/>
      <c r="G49" s="189"/>
      <c r="H49" s="189"/>
      <c r="I49" s="203"/>
      <c r="J49" s="164" t="s">
        <v>14</v>
      </c>
      <c r="K49" s="165"/>
      <c r="L49" s="166" t="s">
        <v>15</v>
      </c>
      <c r="M49" s="167"/>
      <c r="N49" s="4" t="s">
        <v>16</v>
      </c>
      <c r="O49" s="205"/>
    </row>
    <row r="50" spans="1:15" ht="15.75" x14ac:dyDescent="0.25">
      <c r="B50" s="5"/>
      <c r="C50" s="61"/>
      <c r="D50" s="5"/>
      <c r="E50" s="5"/>
      <c r="F50" s="5"/>
      <c r="G50" s="5"/>
      <c r="H50" s="5"/>
      <c r="I50" s="61"/>
      <c r="J50" s="62" t="s">
        <v>17</v>
      </c>
      <c r="K50" s="6" t="s">
        <v>18</v>
      </c>
      <c r="L50" s="10" t="s">
        <v>17</v>
      </c>
      <c r="M50" s="10" t="s">
        <v>18</v>
      </c>
      <c r="N50" s="4"/>
      <c r="O50" s="7"/>
    </row>
    <row r="51" spans="1:15" ht="15" customHeight="1" x14ac:dyDescent="0.25">
      <c r="B51" s="63">
        <v>1</v>
      </c>
      <c r="C51" s="43" t="s">
        <v>154</v>
      </c>
      <c r="D51" s="64" t="s">
        <v>1587</v>
      </c>
      <c r="E51" s="65" t="s">
        <v>862</v>
      </c>
      <c r="F51" s="65" t="s">
        <v>863</v>
      </c>
      <c r="G51" s="66">
        <v>46197</v>
      </c>
      <c r="H51" s="66"/>
      <c r="I51" s="67">
        <v>215100</v>
      </c>
      <c r="J51" s="37">
        <f>I51</f>
        <v>215100</v>
      </c>
      <c r="K51" s="68"/>
      <c r="L51" s="69"/>
      <c r="M51" s="69"/>
      <c r="N51" s="22" t="s">
        <v>155</v>
      </c>
      <c r="O51" s="70"/>
    </row>
    <row r="52" spans="1:15" ht="15" customHeight="1" x14ac:dyDescent="0.25">
      <c r="B52" s="63">
        <v>2</v>
      </c>
      <c r="C52" s="43" t="s">
        <v>154</v>
      </c>
      <c r="D52" s="71" t="s">
        <v>1588</v>
      </c>
      <c r="E52" s="71" t="s">
        <v>508</v>
      </c>
      <c r="F52" s="70" t="s">
        <v>773</v>
      </c>
      <c r="G52" s="66">
        <v>46197</v>
      </c>
      <c r="H52" s="72"/>
      <c r="I52" s="22">
        <v>215100</v>
      </c>
      <c r="J52" s="37">
        <f t="shared" ref="J52:J53" si="6">I52</f>
        <v>215100</v>
      </c>
      <c r="K52" s="68"/>
      <c r="L52" s="24"/>
      <c r="M52" s="69"/>
      <c r="N52" s="22" t="s">
        <v>155</v>
      </c>
      <c r="O52" s="70"/>
    </row>
    <row r="53" spans="1:15" ht="15" customHeight="1" x14ac:dyDescent="0.25">
      <c r="B53" s="63">
        <v>3</v>
      </c>
      <c r="C53" s="43" t="s">
        <v>154</v>
      </c>
      <c r="D53" s="71" t="s">
        <v>1589</v>
      </c>
      <c r="E53" s="71" t="s">
        <v>1590</v>
      </c>
      <c r="F53" s="70" t="s">
        <v>773</v>
      </c>
      <c r="G53" s="66">
        <v>46197</v>
      </c>
      <c r="H53" s="72"/>
      <c r="I53" s="22">
        <v>543800</v>
      </c>
      <c r="J53" s="37">
        <f t="shared" si="6"/>
        <v>543800</v>
      </c>
      <c r="K53" s="68"/>
      <c r="L53" s="24"/>
      <c r="M53" s="69"/>
      <c r="N53" s="22" t="s">
        <v>155</v>
      </c>
      <c r="O53" s="70"/>
    </row>
    <row r="54" spans="1:15" ht="15" customHeight="1" x14ac:dyDescent="0.25">
      <c r="B54" s="63">
        <v>4</v>
      </c>
      <c r="C54" s="43" t="s">
        <v>154</v>
      </c>
      <c r="D54" s="71" t="s">
        <v>1591</v>
      </c>
      <c r="E54" s="71" t="s">
        <v>862</v>
      </c>
      <c r="F54" s="70" t="s">
        <v>863</v>
      </c>
      <c r="G54" s="66">
        <v>46197</v>
      </c>
      <c r="H54" s="72"/>
      <c r="I54" s="22">
        <v>43028</v>
      </c>
      <c r="J54" s="37"/>
      <c r="K54" s="68"/>
      <c r="L54" s="24">
        <f>I54</f>
        <v>43028</v>
      </c>
      <c r="M54" s="69"/>
      <c r="N54" s="22" t="s">
        <v>155</v>
      </c>
      <c r="O54" s="70"/>
    </row>
    <row r="55" spans="1:15" ht="15" customHeight="1" x14ac:dyDescent="0.25">
      <c r="B55" s="63">
        <v>5</v>
      </c>
      <c r="C55" s="43" t="s">
        <v>154</v>
      </c>
      <c r="D55" s="71" t="s">
        <v>1592</v>
      </c>
      <c r="E55" s="71" t="s">
        <v>867</v>
      </c>
      <c r="F55" s="70" t="s">
        <v>776</v>
      </c>
      <c r="G55" s="66">
        <v>46197</v>
      </c>
      <c r="H55" s="72"/>
      <c r="I55" s="22">
        <v>130500</v>
      </c>
      <c r="J55" s="37"/>
      <c r="K55" s="68"/>
      <c r="L55" s="24">
        <f t="shared" ref="L55" si="7">I55</f>
        <v>130500</v>
      </c>
      <c r="M55" s="69"/>
      <c r="N55" s="22" t="s">
        <v>155</v>
      </c>
      <c r="O55" s="70"/>
    </row>
    <row r="56" spans="1:15" ht="15" customHeight="1" x14ac:dyDescent="0.25">
      <c r="B56" s="63">
        <v>6</v>
      </c>
      <c r="C56" s="43" t="s">
        <v>154</v>
      </c>
      <c r="D56" s="71" t="s">
        <v>1593</v>
      </c>
      <c r="E56" s="71" t="s">
        <v>508</v>
      </c>
      <c r="F56" s="70" t="s">
        <v>773</v>
      </c>
      <c r="G56" s="66">
        <v>46197</v>
      </c>
      <c r="H56" s="72"/>
      <c r="I56" s="22">
        <v>207000</v>
      </c>
      <c r="J56" s="37"/>
      <c r="K56" s="68"/>
      <c r="L56" s="24">
        <v>207000</v>
      </c>
      <c r="M56" s="69"/>
      <c r="N56" s="22" t="s">
        <v>155</v>
      </c>
      <c r="O56" s="70"/>
    </row>
    <row r="57" spans="1:15" ht="15" customHeight="1" x14ac:dyDescent="0.25">
      <c r="B57" s="63">
        <v>7</v>
      </c>
      <c r="C57" s="12" t="s">
        <v>243</v>
      </c>
      <c r="D57" s="71" t="s">
        <v>1596</v>
      </c>
      <c r="E57" s="71" t="s">
        <v>1597</v>
      </c>
      <c r="F57" s="70" t="s">
        <v>1511</v>
      </c>
      <c r="G57" s="66">
        <v>46197</v>
      </c>
      <c r="H57" s="72"/>
      <c r="I57" s="22">
        <v>261000</v>
      </c>
      <c r="J57" s="73"/>
      <c r="K57" s="68"/>
      <c r="L57" s="24">
        <f>I57</f>
        <v>261000</v>
      </c>
      <c r="M57" s="69"/>
      <c r="N57" s="22" t="s">
        <v>155</v>
      </c>
      <c r="O57" s="70"/>
    </row>
    <row r="58" spans="1:15" ht="15" customHeight="1" x14ac:dyDescent="0.25">
      <c r="B58" s="63">
        <v>8</v>
      </c>
      <c r="C58" s="12" t="s">
        <v>243</v>
      </c>
      <c r="D58" s="71" t="s">
        <v>1598</v>
      </c>
      <c r="E58" s="71" t="s">
        <v>1050</v>
      </c>
      <c r="F58" s="70" t="s">
        <v>756</v>
      </c>
      <c r="G58" s="66">
        <v>46197</v>
      </c>
      <c r="H58" s="72"/>
      <c r="I58" s="22">
        <v>187500</v>
      </c>
      <c r="J58" s="73"/>
      <c r="K58" s="68"/>
      <c r="L58" s="24">
        <f>I58</f>
        <v>187500</v>
      </c>
      <c r="M58" s="69"/>
      <c r="N58" s="22" t="s">
        <v>155</v>
      </c>
      <c r="O58" s="70"/>
    </row>
    <row r="59" spans="1:15" ht="15" customHeight="1" x14ac:dyDescent="0.25">
      <c r="B59" s="63">
        <v>9</v>
      </c>
      <c r="C59" s="12" t="s">
        <v>243</v>
      </c>
      <c r="D59" s="71" t="s">
        <v>1599</v>
      </c>
      <c r="E59" s="71" t="s">
        <v>1600</v>
      </c>
      <c r="F59" s="70" t="s">
        <v>326</v>
      </c>
      <c r="G59" s="66">
        <v>46197</v>
      </c>
      <c r="H59" s="72"/>
      <c r="I59" s="22">
        <v>430200</v>
      </c>
      <c r="J59" s="73">
        <f>I59</f>
        <v>430200</v>
      </c>
      <c r="K59" s="68"/>
      <c r="L59" s="24"/>
      <c r="M59" s="69"/>
      <c r="N59" s="22" t="s">
        <v>155</v>
      </c>
      <c r="O59" s="70"/>
    </row>
    <row r="60" spans="1:15" ht="15.75" x14ac:dyDescent="0.25">
      <c r="B60" s="169" t="s">
        <v>25</v>
      </c>
      <c r="C60" s="170"/>
      <c r="D60" s="170"/>
      <c r="E60" s="170"/>
      <c r="F60" s="170"/>
      <c r="G60" s="170"/>
      <c r="H60" s="170"/>
      <c r="I60" s="171"/>
      <c r="J60" s="25">
        <f>SUM(J51:J59)</f>
        <v>1404200</v>
      </c>
      <c r="K60" s="74">
        <f>SUM(K51:K59)</f>
        <v>0</v>
      </c>
      <c r="L60" s="60">
        <f>SUM(L51:L59)</f>
        <v>829028</v>
      </c>
      <c r="M60" s="60">
        <f>SUM(M51:M59)</f>
        <v>0</v>
      </c>
      <c r="N60" s="39"/>
      <c r="O60" s="75">
        <f>SUM(J60+K60+L60+M60)</f>
        <v>2233228</v>
      </c>
    </row>
    <row r="61" spans="1:15" ht="15.75" x14ac:dyDescent="0.25">
      <c r="B61" s="172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</row>
    <row r="62" spans="1:15" x14ac:dyDescent="0.25">
      <c r="B62" s="44">
        <v>1</v>
      </c>
      <c r="C62" s="12" t="s">
        <v>330</v>
      </c>
      <c r="D62" s="71" t="s">
        <v>1594</v>
      </c>
      <c r="E62" s="71" t="s">
        <v>1595</v>
      </c>
      <c r="F62" s="70" t="s">
        <v>52</v>
      </c>
      <c r="G62" s="66">
        <v>46197</v>
      </c>
      <c r="H62" s="72"/>
      <c r="I62" s="22">
        <v>227200</v>
      </c>
      <c r="J62" s="73">
        <f>I62</f>
        <v>227200</v>
      </c>
      <c r="K62" s="68"/>
      <c r="L62" s="69"/>
      <c r="M62" s="69"/>
      <c r="N62" s="22" t="s">
        <v>155</v>
      </c>
      <c r="O62" s="70"/>
    </row>
    <row r="63" spans="1:15" ht="15.75" x14ac:dyDescent="0.25">
      <c r="A63" t="s">
        <v>3</v>
      </c>
      <c r="B63" s="169" t="s">
        <v>25</v>
      </c>
      <c r="C63" s="170"/>
      <c r="D63" s="170"/>
      <c r="E63" s="170"/>
      <c r="F63" s="170"/>
      <c r="G63" s="170"/>
      <c r="H63" s="170"/>
      <c r="I63" s="171"/>
      <c r="J63" s="76">
        <f>SUM(J62:J62)</f>
        <v>227200</v>
      </c>
      <c r="K63" s="74">
        <f>SUM(K62:K62)</f>
        <v>0</v>
      </c>
      <c r="L63" s="60">
        <f>SUM(L62:L62)</f>
        <v>0</v>
      </c>
      <c r="M63" s="60">
        <f>SUM(M62:M62)</f>
        <v>0</v>
      </c>
      <c r="N63" s="39"/>
      <c r="O63" s="75">
        <f>SUM(J63+K63+L63+M63)</f>
        <v>227200</v>
      </c>
    </row>
    <row r="64" spans="1:15" x14ac:dyDescent="0.25">
      <c r="D64" s="57"/>
      <c r="I64" s="58"/>
      <c r="J64" s="58"/>
    </row>
    <row r="65" spans="4:15" ht="15.75" x14ac:dyDescent="0.25">
      <c r="D65" s="57"/>
      <c r="G65" s="162" t="s">
        <v>1646</v>
      </c>
      <c r="H65" s="162"/>
      <c r="I65" s="163"/>
      <c r="J65" s="25">
        <f>SUM(J63+J60)</f>
        <v>1631400</v>
      </c>
      <c r="K65" s="74">
        <f>SUM(K63+K60)</f>
        <v>0</v>
      </c>
      <c r="L65" s="60">
        <f>SUM(L63+L60)</f>
        <v>829028</v>
      </c>
      <c r="M65" s="60">
        <f>SUM(M63+M60)</f>
        <v>0</v>
      </c>
      <c r="N65" s="39"/>
      <c r="O65" s="77">
        <f>SUM(J65+K65+L65+M65)</f>
        <v>2460428</v>
      </c>
    </row>
    <row r="66" spans="4:15" ht="15.75" x14ac:dyDescent="0.25">
      <c r="D66" s="57"/>
      <c r="H66" s="41"/>
      <c r="I66" s="41"/>
      <c r="J66" s="41"/>
      <c r="K66" s="78"/>
      <c r="L66" s="78"/>
      <c r="M66" s="78"/>
      <c r="N66" s="79"/>
      <c r="O66" s="80"/>
    </row>
    <row r="67" spans="4:15" ht="15.75" x14ac:dyDescent="0.25">
      <c r="D67" s="57"/>
      <c r="H67" s="174" t="s">
        <v>27</v>
      </c>
      <c r="I67" s="175"/>
      <c r="J67" s="180" t="s">
        <v>14</v>
      </c>
      <c r="K67" s="180"/>
      <c r="L67" s="181" t="s">
        <v>15</v>
      </c>
      <c r="M67" s="181"/>
      <c r="N67" s="70"/>
      <c r="O67" s="182"/>
    </row>
    <row r="68" spans="4:15" ht="15.75" x14ac:dyDescent="0.25">
      <c r="D68" s="57"/>
      <c r="H68" s="176"/>
      <c r="I68" s="177"/>
      <c r="J68" s="6" t="s">
        <v>17</v>
      </c>
      <c r="K68" s="81" t="s">
        <v>18</v>
      </c>
      <c r="L68" s="82" t="s">
        <v>17</v>
      </c>
      <c r="M68" s="82" t="s">
        <v>18</v>
      </c>
      <c r="N68" s="70"/>
      <c r="O68" s="182"/>
    </row>
    <row r="69" spans="4:15" ht="15.75" x14ac:dyDescent="0.25">
      <c r="D69" s="57"/>
      <c r="H69" s="178"/>
      <c r="I69" s="179"/>
      <c r="J69" s="74">
        <f>SUM(J45,J65)</f>
        <v>9088700</v>
      </c>
      <c r="K69" s="74">
        <f>SUM(K65+K45)</f>
        <v>0</v>
      </c>
      <c r="L69" s="60">
        <f>SUM(L65+L45)</f>
        <v>7791840</v>
      </c>
      <c r="M69" s="60">
        <f>SUM(M65+M45)</f>
        <v>0</v>
      </c>
      <c r="N69" s="39"/>
      <c r="O69" s="182"/>
    </row>
    <row r="70" spans="4:15" x14ac:dyDescent="0.25">
      <c r="D70" s="57"/>
      <c r="I70" s="58"/>
      <c r="J70" s="58"/>
    </row>
    <row r="71" spans="4:15" ht="18.75" x14ac:dyDescent="0.3">
      <c r="D71" s="57"/>
      <c r="H71" s="183"/>
      <c r="I71" s="183"/>
      <c r="J71" s="83"/>
      <c r="L71" s="184" t="s">
        <v>28</v>
      </c>
      <c r="M71" s="185"/>
      <c r="N71" s="84">
        <f>SUM(J69+L69)</f>
        <v>16880540</v>
      </c>
      <c r="O71" s="186">
        <f>SUM(N71+N72)</f>
        <v>16880540</v>
      </c>
    </row>
    <row r="72" spans="4:15" ht="18.75" x14ac:dyDescent="0.3">
      <c r="D72" s="57"/>
      <c r="H72" s="183"/>
      <c r="I72" s="183"/>
      <c r="J72" s="83"/>
      <c r="L72" s="184" t="s">
        <v>29</v>
      </c>
      <c r="M72" s="185"/>
      <c r="N72" s="84">
        <f>SUM(K69+M69)</f>
        <v>0</v>
      </c>
      <c r="O72" s="187"/>
    </row>
    <row r="73" spans="4:15" ht="18.75" x14ac:dyDescent="0.3">
      <c r="D73" s="57"/>
      <c r="H73" s="168"/>
      <c r="I73" s="168"/>
      <c r="J73" s="85"/>
      <c r="K73" s="86"/>
    </row>
    <row r="74" spans="4:15" x14ac:dyDescent="0.25">
      <c r="D74" s="2" t="s">
        <v>30</v>
      </c>
      <c r="E74" s="1"/>
      <c r="F74" s="1"/>
      <c r="G74" s="1"/>
      <c r="H74" s="1"/>
      <c r="I74" s="1"/>
      <c r="J74" s="1"/>
      <c r="K74" s="1"/>
    </row>
    <row r="75" spans="4:15" x14ac:dyDescent="0.25">
      <c r="D75" s="2"/>
      <c r="E75" s="1"/>
      <c r="F75" s="1"/>
      <c r="G75" s="1"/>
      <c r="H75" s="1"/>
      <c r="I75" s="1"/>
      <c r="J75" s="1"/>
      <c r="K75" s="1"/>
    </row>
    <row r="76" spans="4:15" x14ac:dyDescent="0.25">
      <c r="D76" s="3" t="s">
        <v>31</v>
      </c>
      <c r="E76" s="3"/>
      <c r="F76" s="3" t="s">
        <v>32</v>
      </c>
      <c r="G76" s="3"/>
      <c r="H76" s="3" t="s">
        <v>33</v>
      </c>
      <c r="I76" s="3"/>
      <c r="J76" s="3" t="s">
        <v>34</v>
      </c>
      <c r="K76" s="3"/>
    </row>
    <row r="77" spans="4:15" x14ac:dyDescent="0.25">
      <c r="D77" s="3"/>
      <c r="E77" s="3"/>
      <c r="F77" s="3"/>
      <c r="G77" s="3"/>
      <c r="H77" s="3"/>
      <c r="I77" s="3"/>
      <c r="J77" s="3"/>
      <c r="K77" s="3"/>
    </row>
    <row r="78" spans="4:15" x14ac:dyDescent="0.25">
      <c r="D78" s="3"/>
      <c r="E78" s="3"/>
      <c r="F78" s="3"/>
      <c r="G78" s="3"/>
      <c r="H78" s="3"/>
      <c r="I78" s="3"/>
      <c r="J78" s="3"/>
      <c r="K78" s="3"/>
    </row>
    <row r="79" spans="4:15" x14ac:dyDescent="0.25">
      <c r="D79" s="3"/>
      <c r="E79" s="3"/>
      <c r="F79" s="3"/>
      <c r="G79" s="3"/>
      <c r="H79" s="3"/>
      <c r="I79" s="3"/>
      <c r="J79" s="3"/>
      <c r="K79" s="3"/>
    </row>
    <row r="80" spans="4:15" x14ac:dyDescent="0.25">
      <c r="D80" s="3" t="s">
        <v>35</v>
      </c>
      <c r="E80" s="3"/>
      <c r="F80" s="3" t="s">
        <v>36</v>
      </c>
      <c r="G80" s="3"/>
      <c r="H80" s="3" t="s">
        <v>36</v>
      </c>
      <c r="I80" s="3"/>
      <c r="J80" s="3" t="s">
        <v>37</v>
      </c>
      <c r="K80" s="3"/>
    </row>
    <row r="81" spans="4:4" x14ac:dyDescent="0.25">
      <c r="D81" s="57"/>
    </row>
    <row r="82" spans="4:4" x14ac:dyDescent="0.25">
      <c r="D82" s="57"/>
    </row>
    <row r="83" spans="4:4" x14ac:dyDescent="0.25">
      <c r="D83" s="57"/>
    </row>
    <row r="84" spans="4:4" x14ac:dyDescent="0.25">
      <c r="D84" s="57"/>
    </row>
    <row r="85" spans="4:4" x14ac:dyDescent="0.25">
      <c r="D85" s="57"/>
    </row>
  </sheetData>
  <mergeCells count="48">
    <mergeCell ref="B24:I24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  <mergeCell ref="G48:G49"/>
    <mergeCell ref="B25:O25"/>
    <mergeCell ref="B35:I35"/>
    <mergeCell ref="B36:O36"/>
    <mergeCell ref="B42:I42"/>
    <mergeCell ref="G45:I45"/>
    <mergeCell ref="B47:D47"/>
    <mergeCell ref="B48:B49"/>
    <mergeCell ref="C48:C49"/>
    <mergeCell ref="D48:D49"/>
    <mergeCell ref="E48:E49"/>
    <mergeCell ref="F48:F49"/>
    <mergeCell ref="H48:H49"/>
    <mergeCell ref="I48:I49"/>
    <mergeCell ref="J48:N48"/>
    <mergeCell ref="O48:O49"/>
    <mergeCell ref="G65:I65"/>
    <mergeCell ref="J49:K49"/>
    <mergeCell ref="L49:M49"/>
    <mergeCell ref="H73:I73"/>
    <mergeCell ref="B60:I60"/>
    <mergeCell ref="B61:O61"/>
    <mergeCell ref="B63:I63"/>
    <mergeCell ref="H67:I69"/>
    <mergeCell ref="J67:K67"/>
    <mergeCell ref="L67:M67"/>
    <mergeCell ref="O67:O69"/>
    <mergeCell ref="H71:I71"/>
    <mergeCell ref="L71:M71"/>
    <mergeCell ref="O71:O72"/>
    <mergeCell ref="H72:I72"/>
    <mergeCell ref="L72:M7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20901-80CC-487A-9BC5-CF142558CA91}">
  <dimension ref="A2:Q81"/>
  <sheetViews>
    <sheetView tabSelected="1" topLeftCell="A43" workbookViewId="0">
      <selection activeCell="G61" sqref="G61:I61"/>
    </sheetView>
  </sheetViews>
  <sheetFormatPr defaultRowHeight="15" x14ac:dyDescent="0.25"/>
  <cols>
    <col min="1" max="1" width="2.140625" customWidth="1"/>
    <col min="2" max="2" width="4.28515625" customWidth="1"/>
    <col min="3" max="3" width="12.42578125" customWidth="1"/>
    <col min="4" max="4" width="16.42578125" customWidth="1"/>
    <col min="5" max="5" width="17.5703125" customWidth="1"/>
    <col min="6" max="6" width="12.28515625" customWidth="1"/>
    <col min="7" max="7" width="11.7109375" customWidth="1"/>
    <col min="8" max="8" width="13" customWidth="1"/>
    <col min="9" max="9" width="14.5703125" customWidth="1"/>
    <col min="10" max="10" width="16.5703125" customWidth="1"/>
    <col min="11" max="11" width="17.42578125" customWidth="1"/>
    <col min="12" max="12" width="15.5703125" customWidth="1"/>
    <col min="13" max="13" width="17.5703125" customWidth="1"/>
    <col min="14" max="14" width="23.5703125" customWidth="1"/>
    <col min="15" max="15" width="22.140625" customWidth="1"/>
  </cols>
  <sheetData>
    <row r="2" spans="2:17" x14ac:dyDescent="0.25">
      <c r="B2" s="1" t="s">
        <v>0</v>
      </c>
    </row>
    <row r="3" spans="2:17" x14ac:dyDescent="0.25">
      <c r="B3" s="206" t="s">
        <v>1</v>
      </c>
      <c r="C3" s="206"/>
      <c r="D3" s="206"/>
    </row>
    <row r="4" spans="2:17" x14ac:dyDescent="0.25">
      <c r="K4" s="1"/>
      <c r="L4" s="207" t="s">
        <v>1602</v>
      </c>
      <c r="M4" s="207"/>
      <c r="N4" s="207"/>
      <c r="O4" s="207"/>
    </row>
    <row r="5" spans="2:17" x14ac:dyDescent="0.25">
      <c r="B5" s="208" t="s">
        <v>2</v>
      </c>
      <c r="C5" s="208"/>
      <c r="D5" s="208"/>
      <c r="Q5" t="s">
        <v>3</v>
      </c>
    </row>
    <row r="6" spans="2:17" ht="15.75" x14ac:dyDescent="0.25">
      <c r="B6" s="188" t="s">
        <v>4</v>
      </c>
      <c r="C6" s="188" t="s">
        <v>5</v>
      </c>
      <c r="D6" s="188" t="s">
        <v>6</v>
      </c>
      <c r="E6" s="188" t="s">
        <v>7</v>
      </c>
      <c r="F6" s="188" t="s">
        <v>8</v>
      </c>
      <c r="G6" s="188" t="s">
        <v>9</v>
      </c>
      <c r="H6" s="174" t="s">
        <v>10</v>
      </c>
      <c r="I6" s="209" t="s">
        <v>11</v>
      </c>
      <c r="J6" s="169" t="s">
        <v>12</v>
      </c>
      <c r="K6" s="170"/>
      <c r="L6" s="170"/>
      <c r="M6" s="170"/>
      <c r="N6" s="171"/>
      <c r="O6" s="204" t="s">
        <v>13</v>
      </c>
    </row>
    <row r="7" spans="2:17" ht="15.75" x14ac:dyDescent="0.25">
      <c r="B7" s="189"/>
      <c r="C7" s="189"/>
      <c r="D7" s="189"/>
      <c r="E7" s="189"/>
      <c r="F7" s="189"/>
      <c r="G7" s="189"/>
      <c r="H7" s="178"/>
      <c r="I7" s="209"/>
      <c r="J7" s="210" t="s">
        <v>14</v>
      </c>
      <c r="K7" s="210"/>
      <c r="L7" s="166" t="s">
        <v>15</v>
      </c>
      <c r="M7" s="167"/>
      <c r="N7" s="4" t="s">
        <v>16</v>
      </c>
      <c r="O7" s="205"/>
    </row>
    <row r="8" spans="2:17" ht="15.75" x14ac:dyDescent="0.25">
      <c r="B8" s="5"/>
      <c r="C8" s="5"/>
      <c r="D8" s="8"/>
      <c r="E8" s="8"/>
      <c r="F8" s="8"/>
      <c r="G8" s="8"/>
      <c r="H8" s="8"/>
      <c r="I8" s="9"/>
      <c r="J8" s="6" t="s">
        <v>17</v>
      </c>
      <c r="K8" s="6" t="s">
        <v>18</v>
      </c>
      <c r="L8" s="10" t="s">
        <v>17</v>
      </c>
      <c r="M8" s="10" t="s">
        <v>18</v>
      </c>
      <c r="N8" s="4"/>
      <c r="O8" s="7"/>
    </row>
    <row r="9" spans="2:17" x14ac:dyDescent="0.25">
      <c r="B9" s="11">
        <v>1</v>
      </c>
      <c r="C9" s="12" t="s">
        <v>19</v>
      </c>
      <c r="D9" s="13" t="s">
        <v>1603</v>
      </c>
      <c r="E9" s="14" t="s">
        <v>1604</v>
      </c>
      <c r="F9" s="15" t="s">
        <v>805</v>
      </c>
      <c r="G9" s="16">
        <v>46156</v>
      </c>
      <c r="H9" s="16">
        <v>46169</v>
      </c>
      <c r="I9" s="17">
        <v>430200</v>
      </c>
      <c r="J9" s="18">
        <f>I9</f>
        <v>430200</v>
      </c>
      <c r="K9" s="19"/>
      <c r="L9" s="20"/>
      <c r="M9" s="20"/>
      <c r="N9" s="22" t="s">
        <v>155</v>
      </c>
      <c r="O9" s="22"/>
    </row>
    <row r="10" spans="2:17" x14ac:dyDescent="0.25">
      <c r="B10" s="11">
        <v>2</v>
      </c>
      <c r="C10" s="12"/>
      <c r="D10" s="13" t="s">
        <v>1605</v>
      </c>
      <c r="E10" s="14" t="s">
        <v>880</v>
      </c>
      <c r="F10" s="15" t="s">
        <v>881</v>
      </c>
      <c r="G10" s="16">
        <v>46156</v>
      </c>
      <c r="H10" s="16">
        <v>46169</v>
      </c>
      <c r="I10" s="23">
        <v>1704000</v>
      </c>
      <c r="J10" s="18">
        <f t="shared" ref="J10:J12" si="0">I10</f>
        <v>1704000</v>
      </c>
      <c r="K10" s="19"/>
      <c r="L10" s="24"/>
      <c r="M10" s="24"/>
      <c r="N10" s="22" t="s">
        <v>155</v>
      </c>
      <c r="O10" s="22"/>
    </row>
    <row r="11" spans="2:17" x14ac:dyDescent="0.25">
      <c r="B11" s="11">
        <v>3</v>
      </c>
      <c r="C11" s="12"/>
      <c r="D11" s="13" t="s">
        <v>1606</v>
      </c>
      <c r="E11" s="14" t="s">
        <v>1607</v>
      </c>
      <c r="F11" s="15" t="s">
        <v>545</v>
      </c>
      <c r="G11" s="16">
        <v>46168</v>
      </c>
      <c r="H11" s="16">
        <v>46181</v>
      </c>
      <c r="I11" s="23">
        <v>2151000</v>
      </c>
      <c r="J11" s="18">
        <f t="shared" si="0"/>
        <v>2151000</v>
      </c>
      <c r="K11" s="19"/>
      <c r="L11" s="24"/>
      <c r="M11" s="24"/>
      <c r="N11" s="22" t="s">
        <v>155</v>
      </c>
      <c r="O11" s="22"/>
    </row>
    <row r="12" spans="2:17" x14ac:dyDescent="0.25">
      <c r="B12" s="11">
        <v>4</v>
      </c>
      <c r="C12" s="12"/>
      <c r="D12" s="13" t="s">
        <v>1608</v>
      </c>
      <c r="E12" s="14" t="s">
        <v>823</v>
      </c>
      <c r="F12" s="15" t="s">
        <v>333</v>
      </c>
      <c r="G12" s="16">
        <v>46184</v>
      </c>
      <c r="H12" s="16">
        <v>46197</v>
      </c>
      <c r="I12" s="23">
        <v>2091000</v>
      </c>
      <c r="J12" s="18">
        <f t="shared" si="0"/>
        <v>2091000</v>
      </c>
      <c r="K12" s="19"/>
      <c r="L12" s="24"/>
      <c r="M12" s="24"/>
      <c r="N12" s="22" t="s">
        <v>155</v>
      </c>
      <c r="O12" s="22"/>
    </row>
    <row r="13" spans="2:17" x14ac:dyDescent="0.25">
      <c r="B13" s="11">
        <v>5</v>
      </c>
      <c r="C13" s="12"/>
      <c r="D13" s="13" t="s">
        <v>1609</v>
      </c>
      <c r="E13" s="14" t="s">
        <v>1604</v>
      </c>
      <c r="F13" s="15" t="s">
        <v>805</v>
      </c>
      <c r="G13" s="16">
        <v>46156</v>
      </c>
      <c r="H13" s="16">
        <v>46169</v>
      </c>
      <c r="I13" s="23">
        <v>137112</v>
      </c>
      <c r="J13" s="18"/>
      <c r="K13" s="19"/>
      <c r="L13" s="24">
        <f>I13</f>
        <v>137112</v>
      </c>
      <c r="M13" s="24"/>
      <c r="N13" s="22" t="s">
        <v>155</v>
      </c>
      <c r="O13" s="22"/>
    </row>
    <row r="14" spans="2:17" x14ac:dyDescent="0.25">
      <c r="B14" s="11">
        <v>6</v>
      </c>
      <c r="C14" s="12"/>
      <c r="D14" s="13" t="s">
        <v>946</v>
      </c>
      <c r="E14" s="14" t="s">
        <v>947</v>
      </c>
      <c r="F14" s="15" t="s">
        <v>948</v>
      </c>
      <c r="G14" s="16">
        <v>46171</v>
      </c>
      <c r="H14" s="16">
        <v>46184</v>
      </c>
      <c r="I14" s="23">
        <v>333500</v>
      </c>
      <c r="J14" s="18"/>
      <c r="K14" s="19"/>
      <c r="L14" s="24">
        <v>150000</v>
      </c>
      <c r="M14" s="24"/>
      <c r="N14" s="22" t="s">
        <v>158</v>
      </c>
      <c r="O14" s="22"/>
    </row>
    <row r="15" spans="2:17" x14ac:dyDescent="0.25">
      <c r="B15" s="11">
        <v>7</v>
      </c>
      <c r="C15" s="12"/>
      <c r="D15" s="13" t="s">
        <v>1610</v>
      </c>
      <c r="E15" s="14" t="s">
        <v>726</v>
      </c>
      <c r="F15" s="15" t="s">
        <v>727</v>
      </c>
      <c r="G15" s="16">
        <v>46182</v>
      </c>
      <c r="H15" s="16">
        <v>46195</v>
      </c>
      <c r="I15" s="23">
        <v>435000</v>
      </c>
      <c r="J15" s="18"/>
      <c r="K15" s="19"/>
      <c r="L15" s="24"/>
      <c r="M15" s="24">
        <v>435000</v>
      </c>
      <c r="N15" s="22" t="s">
        <v>1645</v>
      </c>
      <c r="O15" s="22"/>
    </row>
    <row r="16" spans="2:17" ht="15.75" x14ac:dyDescent="0.25">
      <c r="B16" s="169" t="s">
        <v>13</v>
      </c>
      <c r="C16" s="170"/>
      <c r="D16" s="170"/>
      <c r="E16" s="170"/>
      <c r="F16" s="170"/>
      <c r="G16" s="170"/>
      <c r="H16" s="170"/>
      <c r="I16" s="171"/>
      <c r="J16" s="25">
        <f>SUM(J9:J15)</f>
        <v>6376200</v>
      </c>
      <c r="K16" s="26">
        <f>SUM(K9:K15)</f>
        <v>0</v>
      </c>
      <c r="L16" s="27">
        <f>SUM(L9:L15)</f>
        <v>287112</v>
      </c>
      <c r="M16" s="28">
        <f>SUM(M9:M15)</f>
        <v>435000</v>
      </c>
      <c r="N16" s="29"/>
      <c r="O16" s="30">
        <f>SUM(J16+K16+L16+M16)</f>
        <v>7098312</v>
      </c>
    </row>
    <row r="17" spans="2:15" ht="15.75" x14ac:dyDescent="0.25">
      <c r="B17" s="190"/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</row>
    <row r="18" spans="2:15" x14ac:dyDescent="0.25">
      <c r="B18" s="11">
        <v>1</v>
      </c>
      <c r="C18" s="31" t="s">
        <v>20</v>
      </c>
      <c r="D18" s="13" t="s">
        <v>1611</v>
      </c>
      <c r="E18" s="32" t="s">
        <v>921</v>
      </c>
      <c r="F18" s="33" t="s">
        <v>922</v>
      </c>
      <c r="G18" s="34">
        <v>46171</v>
      </c>
      <c r="H18" s="35">
        <v>46184</v>
      </c>
      <c r="I18" s="36">
        <v>1075500</v>
      </c>
      <c r="J18" s="37">
        <f t="shared" ref="J18:J28" si="1">I18</f>
        <v>1075500</v>
      </c>
      <c r="K18" s="19"/>
      <c r="L18" s="24"/>
      <c r="M18" s="24"/>
      <c r="N18" s="22" t="s">
        <v>155</v>
      </c>
      <c r="O18" s="22"/>
    </row>
    <row r="19" spans="2:15" x14ac:dyDescent="0.25">
      <c r="B19" s="11">
        <v>2</v>
      </c>
      <c r="C19" s="31"/>
      <c r="D19" s="13" t="s">
        <v>1612</v>
      </c>
      <c r="E19" s="32" t="s">
        <v>85</v>
      </c>
      <c r="F19" s="33" t="s">
        <v>832</v>
      </c>
      <c r="G19" s="34">
        <v>46184</v>
      </c>
      <c r="H19" s="35">
        <v>46197</v>
      </c>
      <c r="I19" s="36">
        <v>543800</v>
      </c>
      <c r="J19" s="37">
        <f t="shared" si="1"/>
        <v>543800</v>
      </c>
      <c r="K19" s="19"/>
      <c r="L19" s="24"/>
      <c r="M19" s="24"/>
      <c r="N19" s="22" t="s">
        <v>155</v>
      </c>
      <c r="O19" s="22"/>
    </row>
    <row r="20" spans="2:15" x14ac:dyDescent="0.25">
      <c r="B20" s="11">
        <v>3</v>
      </c>
      <c r="C20" s="31"/>
      <c r="D20" s="13" t="s">
        <v>1613</v>
      </c>
      <c r="E20" s="32" t="s">
        <v>924</v>
      </c>
      <c r="F20" s="33" t="s">
        <v>922</v>
      </c>
      <c r="G20" s="34">
        <v>46185</v>
      </c>
      <c r="H20" s="35">
        <v>46198</v>
      </c>
      <c r="I20" s="36">
        <v>430200</v>
      </c>
      <c r="J20" s="37">
        <f t="shared" si="1"/>
        <v>430200</v>
      </c>
      <c r="K20" s="19"/>
      <c r="L20" s="24"/>
      <c r="M20" s="24"/>
      <c r="N20" s="22" t="s">
        <v>155</v>
      </c>
      <c r="O20" s="22"/>
    </row>
    <row r="21" spans="2:15" x14ac:dyDescent="0.25">
      <c r="B21" s="11">
        <v>4</v>
      </c>
      <c r="C21" s="31"/>
      <c r="D21" s="13" t="s">
        <v>1614</v>
      </c>
      <c r="E21" s="32" t="s">
        <v>1615</v>
      </c>
      <c r="F21" s="33" t="s">
        <v>922</v>
      </c>
      <c r="G21" s="34">
        <v>46185</v>
      </c>
      <c r="H21" s="35">
        <v>46198</v>
      </c>
      <c r="I21" s="36">
        <v>215100</v>
      </c>
      <c r="J21" s="37">
        <f t="shared" si="1"/>
        <v>215100</v>
      </c>
      <c r="K21" s="19"/>
      <c r="L21" s="24"/>
      <c r="M21" s="24"/>
      <c r="N21" s="22" t="s">
        <v>155</v>
      </c>
      <c r="O21" s="22"/>
    </row>
    <row r="22" spans="2:15" x14ac:dyDescent="0.25">
      <c r="B22" s="11">
        <v>5</v>
      </c>
      <c r="C22" s="31"/>
      <c r="D22" s="13" t="s">
        <v>1616</v>
      </c>
      <c r="E22" s="32" t="s">
        <v>974</v>
      </c>
      <c r="F22" s="33" t="s">
        <v>968</v>
      </c>
      <c r="G22" s="34">
        <v>46185</v>
      </c>
      <c r="H22" s="35">
        <v>46198</v>
      </c>
      <c r="I22" s="36">
        <v>215100</v>
      </c>
      <c r="J22" s="37">
        <f t="shared" si="1"/>
        <v>215100</v>
      </c>
      <c r="K22" s="19"/>
      <c r="L22" s="24"/>
      <c r="M22" s="24"/>
      <c r="N22" s="22" t="s">
        <v>155</v>
      </c>
      <c r="O22" s="22"/>
    </row>
    <row r="23" spans="2:15" x14ac:dyDescent="0.25">
      <c r="B23" s="11">
        <v>6</v>
      </c>
      <c r="C23" s="31"/>
      <c r="D23" s="13" t="s">
        <v>1617</v>
      </c>
      <c r="E23" s="32" t="s">
        <v>1618</v>
      </c>
      <c r="F23" s="33" t="s">
        <v>968</v>
      </c>
      <c r="G23" s="34">
        <v>46185</v>
      </c>
      <c r="H23" s="35">
        <v>46198</v>
      </c>
      <c r="I23" s="36">
        <v>328700</v>
      </c>
      <c r="J23" s="37">
        <f>I23</f>
        <v>328700</v>
      </c>
      <c r="K23" s="19"/>
      <c r="L23" s="24"/>
      <c r="M23" s="24"/>
      <c r="N23" s="22" t="s">
        <v>155</v>
      </c>
      <c r="O23" s="22"/>
    </row>
    <row r="24" spans="2:15" x14ac:dyDescent="0.25">
      <c r="B24" s="11">
        <v>7</v>
      </c>
      <c r="C24" s="31"/>
      <c r="D24" s="13" t="s">
        <v>1619</v>
      </c>
      <c r="E24" s="32" t="s">
        <v>967</v>
      </c>
      <c r="F24" s="33" t="s">
        <v>968</v>
      </c>
      <c r="G24" s="34">
        <v>46185</v>
      </c>
      <c r="H24" s="35">
        <v>46198</v>
      </c>
      <c r="I24" s="36">
        <v>328700</v>
      </c>
      <c r="J24" s="37">
        <f t="shared" si="1"/>
        <v>328700</v>
      </c>
      <c r="K24" s="19"/>
      <c r="L24" s="24"/>
      <c r="M24" s="24"/>
      <c r="N24" s="22" t="s">
        <v>155</v>
      </c>
      <c r="O24" s="22"/>
    </row>
    <row r="25" spans="2:15" x14ac:dyDescent="0.25">
      <c r="B25" s="11">
        <v>8</v>
      </c>
      <c r="C25" s="31"/>
      <c r="D25" s="13" t="s">
        <v>1620</v>
      </c>
      <c r="E25" s="32" t="s">
        <v>932</v>
      </c>
      <c r="F25" s="33" t="s">
        <v>933</v>
      </c>
      <c r="G25" s="34">
        <v>46185</v>
      </c>
      <c r="H25" s="35">
        <v>46198</v>
      </c>
      <c r="I25" s="36">
        <v>1189100</v>
      </c>
      <c r="J25" s="37">
        <f t="shared" si="1"/>
        <v>1189100</v>
      </c>
      <c r="K25" s="19"/>
      <c r="L25" s="24"/>
      <c r="M25" s="24"/>
      <c r="N25" s="22" t="s">
        <v>155</v>
      </c>
      <c r="O25" s="22"/>
    </row>
    <row r="26" spans="2:15" x14ac:dyDescent="0.25">
      <c r="B26" s="11">
        <v>9</v>
      </c>
      <c r="C26" s="31"/>
      <c r="D26" s="13" t="s">
        <v>1621</v>
      </c>
      <c r="E26" s="32" t="s">
        <v>918</v>
      </c>
      <c r="F26" s="33" t="s">
        <v>919</v>
      </c>
      <c r="G26" s="34">
        <v>46185</v>
      </c>
      <c r="H26" s="35">
        <v>46198</v>
      </c>
      <c r="I26" s="36">
        <v>543800</v>
      </c>
      <c r="J26" s="37">
        <v>143800</v>
      </c>
      <c r="K26" s="19"/>
      <c r="L26" s="24"/>
      <c r="M26" s="24"/>
      <c r="N26" s="22" t="s">
        <v>158</v>
      </c>
      <c r="O26" s="22"/>
    </row>
    <row r="27" spans="2:15" x14ac:dyDescent="0.25">
      <c r="B27" s="11">
        <v>10</v>
      </c>
      <c r="C27" s="31"/>
      <c r="D27" s="13" t="s">
        <v>1622</v>
      </c>
      <c r="E27" s="32" t="s">
        <v>1623</v>
      </c>
      <c r="F27" s="33" t="s">
        <v>934</v>
      </c>
      <c r="G27" s="34">
        <v>46185</v>
      </c>
      <c r="H27" s="35">
        <v>46198</v>
      </c>
      <c r="I27" s="36">
        <v>215100</v>
      </c>
      <c r="J27" s="37">
        <f t="shared" si="1"/>
        <v>215100</v>
      </c>
      <c r="K27" s="19"/>
      <c r="L27" s="24"/>
      <c r="M27" s="24"/>
      <c r="N27" s="22" t="s">
        <v>155</v>
      </c>
      <c r="O27" s="22"/>
    </row>
    <row r="28" spans="2:15" x14ac:dyDescent="0.25">
      <c r="B28" s="11">
        <v>11</v>
      </c>
      <c r="C28" s="31"/>
      <c r="D28" s="13" t="s">
        <v>1624</v>
      </c>
      <c r="E28" s="32" t="s">
        <v>929</v>
      </c>
      <c r="F28" s="33" t="s">
        <v>930</v>
      </c>
      <c r="G28" s="34">
        <v>46185</v>
      </c>
      <c r="H28" s="35">
        <v>46198</v>
      </c>
      <c r="I28" s="36">
        <v>215100</v>
      </c>
      <c r="J28" s="37">
        <f t="shared" si="1"/>
        <v>215100</v>
      </c>
      <c r="K28" s="19"/>
      <c r="L28" s="24"/>
      <c r="M28" s="24"/>
      <c r="N28" s="22" t="s">
        <v>155</v>
      </c>
      <c r="O28" s="22"/>
    </row>
    <row r="29" spans="2:15" x14ac:dyDescent="0.25">
      <c r="B29" s="11">
        <v>12</v>
      </c>
      <c r="C29" s="31"/>
      <c r="D29" s="13" t="s">
        <v>1625</v>
      </c>
      <c r="E29" s="32" t="s">
        <v>1626</v>
      </c>
      <c r="F29" s="33" t="s">
        <v>919</v>
      </c>
      <c r="G29" s="34">
        <v>46185</v>
      </c>
      <c r="H29" s="35">
        <v>46198</v>
      </c>
      <c r="I29" s="36">
        <v>187498</v>
      </c>
      <c r="J29" s="37"/>
      <c r="K29" s="19"/>
      <c r="L29" s="24">
        <f t="shared" ref="L29:L31" si="2">I29</f>
        <v>187498</v>
      </c>
      <c r="M29" s="24"/>
      <c r="N29" s="22" t="s">
        <v>155</v>
      </c>
      <c r="O29" s="22"/>
    </row>
    <row r="30" spans="2:15" x14ac:dyDescent="0.25">
      <c r="B30" s="11">
        <v>13</v>
      </c>
      <c r="C30" s="31"/>
      <c r="D30" s="13" t="s">
        <v>1627</v>
      </c>
      <c r="E30" s="32" t="s">
        <v>932</v>
      </c>
      <c r="F30" s="33" t="s">
        <v>933</v>
      </c>
      <c r="G30" s="34">
        <v>46185</v>
      </c>
      <c r="H30" s="35">
        <v>46198</v>
      </c>
      <c r="I30" s="36">
        <v>64501</v>
      </c>
      <c r="J30" s="37"/>
      <c r="K30" s="19"/>
      <c r="L30" s="24">
        <f t="shared" si="2"/>
        <v>64501</v>
      </c>
      <c r="M30" s="24"/>
      <c r="N30" s="22" t="s">
        <v>155</v>
      </c>
      <c r="O30" s="22"/>
    </row>
    <row r="31" spans="2:15" x14ac:dyDescent="0.25">
      <c r="B31" s="11">
        <v>14</v>
      </c>
      <c r="C31" s="31"/>
      <c r="D31" s="13" t="s">
        <v>1628</v>
      </c>
      <c r="E31" s="32" t="s">
        <v>918</v>
      </c>
      <c r="F31" s="33" t="s">
        <v>919</v>
      </c>
      <c r="G31" s="34">
        <v>46171</v>
      </c>
      <c r="H31" s="35">
        <v>46184</v>
      </c>
      <c r="I31" s="36">
        <v>140082</v>
      </c>
      <c r="J31" s="37"/>
      <c r="K31" s="19"/>
      <c r="L31" s="24">
        <f t="shared" si="2"/>
        <v>140082</v>
      </c>
      <c r="M31" s="24"/>
      <c r="N31" s="22" t="s">
        <v>155</v>
      </c>
      <c r="O31" s="22"/>
    </row>
    <row r="32" spans="2:15" ht="15.75" x14ac:dyDescent="0.25">
      <c r="B32" s="192" t="s">
        <v>13</v>
      </c>
      <c r="C32" s="193"/>
      <c r="D32" s="193"/>
      <c r="E32" s="193"/>
      <c r="F32" s="193"/>
      <c r="G32" s="193"/>
      <c r="H32" s="193"/>
      <c r="I32" s="194"/>
      <c r="J32" s="38">
        <f>SUM(J18:J31)</f>
        <v>4900200</v>
      </c>
      <c r="K32" s="26">
        <f>SUM(K18:K31)</f>
        <v>0</v>
      </c>
      <c r="L32" s="27">
        <f>SUM(L18:L31)</f>
        <v>392081</v>
      </c>
      <c r="M32" s="27">
        <f>SUM(M18:M31)</f>
        <v>0</v>
      </c>
      <c r="N32" s="39"/>
      <c r="O32" s="40">
        <f>SUM(J32+K32+L32+M32)</f>
        <v>5292281</v>
      </c>
    </row>
    <row r="33" spans="2:15" ht="15.75" x14ac:dyDescent="0.25">
      <c r="B33" s="195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</row>
    <row r="34" spans="2:15" ht="15.75" x14ac:dyDescent="0.25">
      <c r="B34" s="42">
        <v>1</v>
      </c>
      <c r="C34" s="43" t="s">
        <v>21</v>
      </c>
      <c r="D34" s="44" t="s">
        <v>1629</v>
      </c>
      <c r="E34" s="45" t="s">
        <v>856</v>
      </c>
      <c r="F34" s="45" t="s">
        <v>627</v>
      </c>
      <c r="G34" s="46">
        <v>46184</v>
      </c>
      <c r="H34" s="46">
        <v>46197</v>
      </c>
      <c r="I34" s="47">
        <v>3287000</v>
      </c>
      <c r="J34" s="48">
        <f>I34</f>
        <v>3287000</v>
      </c>
      <c r="K34" s="49"/>
      <c r="L34" s="50"/>
      <c r="M34" s="50"/>
      <c r="N34" s="22" t="s">
        <v>155</v>
      </c>
      <c r="O34" s="42"/>
    </row>
    <row r="35" spans="2:15" ht="15.75" x14ac:dyDescent="0.25">
      <c r="B35" s="42">
        <v>2</v>
      </c>
      <c r="C35" s="43"/>
      <c r="D35" s="44" t="s">
        <v>1630</v>
      </c>
      <c r="E35" s="45" t="s">
        <v>1377</v>
      </c>
      <c r="F35" s="45" t="s">
        <v>900</v>
      </c>
      <c r="G35" s="46">
        <v>46185</v>
      </c>
      <c r="H35" s="46">
        <v>46198</v>
      </c>
      <c r="I35" s="47">
        <v>340800</v>
      </c>
      <c r="J35" s="48">
        <f t="shared" ref="J35:J37" si="3">I35</f>
        <v>340800</v>
      </c>
      <c r="K35" s="49"/>
      <c r="L35" s="50"/>
      <c r="M35" s="50"/>
      <c r="N35" s="22" t="s">
        <v>155</v>
      </c>
      <c r="O35" s="42"/>
    </row>
    <row r="36" spans="2:15" ht="15.75" x14ac:dyDescent="0.25">
      <c r="B36" s="42">
        <v>3</v>
      </c>
      <c r="C36" s="43"/>
      <c r="D36" s="44" t="s">
        <v>1631</v>
      </c>
      <c r="E36" s="45" t="s">
        <v>904</v>
      </c>
      <c r="F36" s="45" t="s">
        <v>905</v>
      </c>
      <c r="G36" s="46">
        <v>46185</v>
      </c>
      <c r="H36" s="46">
        <v>46198</v>
      </c>
      <c r="I36" s="47">
        <v>215100</v>
      </c>
      <c r="J36" s="48">
        <f t="shared" si="3"/>
        <v>215100</v>
      </c>
      <c r="K36" s="49"/>
      <c r="L36" s="50"/>
      <c r="M36" s="50"/>
      <c r="N36" s="22" t="s">
        <v>155</v>
      </c>
      <c r="O36" s="42"/>
    </row>
    <row r="37" spans="2:15" ht="15.75" x14ac:dyDescent="0.25">
      <c r="B37" s="42">
        <v>4</v>
      </c>
      <c r="C37" s="43"/>
      <c r="D37" s="44" t="s">
        <v>1632</v>
      </c>
      <c r="E37" s="45" t="s">
        <v>907</v>
      </c>
      <c r="F37" s="45" t="s">
        <v>908</v>
      </c>
      <c r="G37" s="46">
        <v>46185</v>
      </c>
      <c r="H37" s="46">
        <v>46198</v>
      </c>
      <c r="I37" s="47">
        <v>645300</v>
      </c>
      <c r="J37" s="48">
        <f t="shared" si="3"/>
        <v>645300</v>
      </c>
      <c r="K37" s="49"/>
      <c r="L37" s="50"/>
      <c r="M37" s="50"/>
      <c r="N37" s="22" t="s">
        <v>155</v>
      </c>
      <c r="O37" s="42"/>
    </row>
    <row r="38" spans="2:15" ht="15.75" x14ac:dyDescent="0.25">
      <c r="B38" s="42">
        <v>5</v>
      </c>
      <c r="C38" s="43"/>
      <c r="D38" s="44" t="s">
        <v>1633</v>
      </c>
      <c r="E38" s="45" t="s">
        <v>856</v>
      </c>
      <c r="F38" s="45" t="s">
        <v>627</v>
      </c>
      <c r="G38" s="46">
        <v>46184</v>
      </c>
      <c r="H38" s="46">
        <v>46197</v>
      </c>
      <c r="I38" s="47">
        <v>671100</v>
      </c>
      <c r="J38" s="48"/>
      <c r="K38" s="49"/>
      <c r="L38" s="51">
        <f>I38</f>
        <v>671100</v>
      </c>
      <c r="M38" s="50"/>
      <c r="N38" s="22" t="s">
        <v>155</v>
      </c>
      <c r="O38" s="42"/>
    </row>
    <row r="39" spans="2:15" ht="15.75" x14ac:dyDescent="0.25">
      <c r="B39" s="42">
        <v>6</v>
      </c>
      <c r="C39" s="43"/>
      <c r="D39" s="44" t="s">
        <v>1634</v>
      </c>
      <c r="E39" s="45" t="s">
        <v>904</v>
      </c>
      <c r="F39" s="45" t="s">
        <v>905</v>
      </c>
      <c r="G39" s="46">
        <v>46185</v>
      </c>
      <c r="H39" s="46">
        <v>46198</v>
      </c>
      <c r="I39" s="47">
        <v>656400</v>
      </c>
      <c r="J39" s="48"/>
      <c r="K39" s="49"/>
      <c r="L39" s="51">
        <f t="shared" ref="L39" si="4">I39</f>
        <v>656400</v>
      </c>
      <c r="M39" s="50"/>
      <c r="N39" s="22" t="s">
        <v>155</v>
      </c>
      <c r="O39" s="42"/>
    </row>
    <row r="40" spans="2:15" ht="15.75" x14ac:dyDescent="0.25">
      <c r="B40" s="197" t="s">
        <v>13</v>
      </c>
      <c r="C40" s="198"/>
      <c r="D40" s="198"/>
      <c r="E40" s="198"/>
      <c r="F40" s="198"/>
      <c r="G40" s="198"/>
      <c r="H40" s="198"/>
      <c r="I40" s="199"/>
      <c r="J40" s="52">
        <f>SUM(J34:J39)</f>
        <v>4488200</v>
      </c>
      <c r="K40" s="53">
        <f>SUM(K34:K39)</f>
        <v>0</v>
      </c>
      <c r="L40" s="54">
        <f>SUM(L34:L39)</f>
        <v>1327500</v>
      </c>
      <c r="M40" s="54">
        <f>SUM(M34:M39)</f>
        <v>0</v>
      </c>
      <c r="N40" s="55"/>
      <c r="O40" s="56">
        <f>SUM(J40+K40+L40+M40)</f>
        <v>5815700</v>
      </c>
    </row>
    <row r="41" spans="2:15" x14ac:dyDescent="0.25">
      <c r="D41" s="57"/>
      <c r="I41" s="58"/>
      <c r="J41" s="58"/>
    </row>
    <row r="42" spans="2:15" x14ac:dyDescent="0.25">
      <c r="D42" s="57"/>
      <c r="I42" s="58"/>
      <c r="J42" s="58"/>
    </row>
    <row r="43" spans="2:15" ht="15.75" x14ac:dyDescent="0.25">
      <c r="D43" s="57"/>
      <c r="G43" s="200" t="s">
        <v>22</v>
      </c>
      <c r="H43" s="200"/>
      <c r="I43" s="200"/>
      <c r="J43" s="59">
        <f>SUM(J40+J32+J16)</f>
        <v>15764600</v>
      </c>
      <c r="K43" s="26">
        <f>SUM(K40+K32+K16)</f>
        <v>0</v>
      </c>
      <c r="L43" s="60">
        <f>SUM(L40+L32+L16)</f>
        <v>2006693</v>
      </c>
      <c r="M43" s="60">
        <f>SUM(M40+M32+M16)</f>
        <v>435000</v>
      </c>
      <c r="N43" s="39"/>
      <c r="O43" s="30">
        <f>SUM(J43+K43+L43+M43)</f>
        <v>18206293</v>
      </c>
    </row>
    <row r="44" spans="2:15" x14ac:dyDescent="0.25">
      <c r="D44" s="57"/>
      <c r="I44" s="58"/>
      <c r="J44" s="58"/>
    </row>
    <row r="45" spans="2:15" x14ac:dyDescent="0.25">
      <c r="B45" s="201" t="s">
        <v>1601</v>
      </c>
      <c r="C45" s="201"/>
      <c r="D45" s="201"/>
      <c r="I45" s="58"/>
      <c r="J45" s="58"/>
    </row>
    <row r="46" spans="2:15" ht="15.75" x14ac:dyDescent="0.25">
      <c r="B46" s="188" t="s">
        <v>4</v>
      </c>
      <c r="C46" s="202" t="s">
        <v>23</v>
      </c>
      <c r="D46" s="188" t="s">
        <v>6</v>
      </c>
      <c r="E46" s="188" t="s">
        <v>7</v>
      </c>
      <c r="F46" s="188" t="s">
        <v>8</v>
      </c>
      <c r="G46" s="188" t="s">
        <v>9</v>
      </c>
      <c r="H46" s="188" t="s">
        <v>10</v>
      </c>
      <c r="I46" s="202" t="s">
        <v>24</v>
      </c>
      <c r="J46" s="169" t="s">
        <v>12</v>
      </c>
      <c r="K46" s="170"/>
      <c r="L46" s="170"/>
      <c r="M46" s="170"/>
      <c r="N46" s="171"/>
      <c r="O46" s="204" t="s">
        <v>13</v>
      </c>
    </row>
    <row r="47" spans="2:15" ht="15.75" x14ac:dyDescent="0.25">
      <c r="B47" s="189"/>
      <c r="C47" s="203"/>
      <c r="D47" s="189"/>
      <c r="E47" s="189"/>
      <c r="F47" s="189"/>
      <c r="G47" s="189"/>
      <c r="H47" s="189"/>
      <c r="I47" s="203"/>
      <c r="J47" s="164" t="s">
        <v>14</v>
      </c>
      <c r="K47" s="165"/>
      <c r="L47" s="166" t="s">
        <v>15</v>
      </c>
      <c r="M47" s="167"/>
      <c r="N47" s="4" t="s">
        <v>16</v>
      </c>
      <c r="O47" s="205"/>
    </row>
    <row r="48" spans="2:15" ht="15.75" x14ac:dyDescent="0.25">
      <c r="B48" s="5"/>
      <c r="C48" s="61"/>
      <c r="D48" s="5"/>
      <c r="E48" s="5"/>
      <c r="F48" s="5"/>
      <c r="G48" s="5"/>
      <c r="H48" s="5"/>
      <c r="I48" s="61"/>
      <c r="J48" s="62" t="s">
        <v>17</v>
      </c>
      <c r="K48" s="6" t="s">
        <v>18</v>
      </c>
      <c r="L48" s="10" t="s">
        <v>17</v>
      </c>
      <c r="M48" s="10" t="s">
        <v>18</v>
      </c>
      <c r="N48" s="4"/>
      <c r="O48" s="7"/>
    </row>
    <row r="49" spans="1:15" ht="15" customHeight="1" x14ac:dyDescent="0.25">
      <c r="B49" s="63">
        <v>1</v>
      </c>
      <c r="C49" s="43" t="s">
        <v>154</v>
      </c>
      <c r="D49" s="64" t="s">
        <v>1635</v>
      </c>
      <c r="E49" s="65" t="s">
        <v>858</v>
      </c>
      <c r="F49" s="65" t="s">
        <v>859</v>
      </c>
      <c r="G49" s="66">
        <v>46198</v>
      </c>
      <c r="H49" s="66"/>
      <c r="I49" s="67">
        <v>2681500</v>
      </c>
      <c r="J49" s="37">
        <f>I49</f>
        <v>2681500</v>
      </c>
      <c r="K49" s="68"/>
      <c r="L49" s="69"/>
      <c r="M49" s="69"/>
      <c r="N49" s="22" t="s">
        <v>155</v>
      </c>
      <c r="O49" s="70"/>
    </row>
    <row r="50" spans="1:15" ht="15" customHeight="1" x14ac:dyDescent="0.25">
      <c r="B50" s="63">
        <v>2</v>
      </c>
      <c r="C50" s="43" t="s">
        <v>154</v>
      </c>
      <c r="D50" s="71" t="s">
        <v>1636</v>
      </c>
      <c r="E50" s="71" t="s">
        <v>896</v>
      </c>
      <c r="F50" s="70" t="s">
        <v>897</v>
      </c>
      <c r="G50" s="66">
        <v>46198</v>
      </c>
      <c r="H50" s="72"/>
      <c r="I50" s="22">
        <v>174000</v>
      </c>
      <c r="J50" s="37"/>
      <c r="K50" s="68"/>
      <c r="L50" s="24">
        <f>I50</f>
        <v>174000</v>
      </c>
      <c r="M50" s="69"/>
      <c r="N50" s="22" t="s">
        <v>155</v>
      </c>
      <c r="O50" s="70"/>
    </row>
    <row r="51" spans="1:15" ht="15" customHeight="1" x14ac:dyDescent="0.25">
      <c r="B51" s="63">
        <v>3</v>
      </c>
      <c r="C51" s="43" t="s">
        <v>154</v>
      </c>
      <c r="D51" s="71" t="s">
        <v>1644</v>
      </c>
      <c r="E51" s="71" t="s">
        <v>856</v>
      </c>
      <c r="F51" s="70" t="s">
        <v>627</v>
      </c>
      <c r="G51" s="66">
        <v>46198</v>
      </c>
      <c r="H51" s="72"/>
      <c r="I51" s="22">
        <v>435000</v>
      </c>
      <c r="J51" s="37"/>
      <c r="K51" s="68"/>
      <c r="L51" s="24">
        <v>435000</v>
      </c>
      <c r="M51" s="69"/>
      <c r="N51" s="22" t="s">
        <v>155</v>
      </c>
      <c r="O51" s="70"/>
    </row>
    <row r="52" spans="1:15" ht="15.75" x14ac:dyDescent="0.25">
      <c r="B52" s="169" t="s">
        <v>25</v>
      </c>
      <c r="C52" s="170"/>
      <c r="D52" s="170"/>
      <c r="E52" s="170"/>
      <c r="F52" s="170"/>
      <c r="G52" s="170"/>
      <c r="H52" s="170"/>
      <c r="I52" s="171"/>
      <c r="J52" s="25">
        <f>SUM(J49:J51)</f>
        <v>2681500</v>
      </c>
      <c r="K52" s="74">
        <f>SUM(K49:K51)</f>
        <v>0</v>
      </c>
      <c r="L52" s="60">
        <f>SUM(L49:L51)</f>
        <v>609000</v>
      </c>
      <c r="M52" s="60">
        <f>SUM(M49:M51)</f>
        <v>0</v>
      </c>
      <c r="N52" s="39"/>
      <c r="O52" s="75">
        <f>SUM(J52+K52+L52+M52)</f>
        <v>3290500</v>
      </c>
    </row>
    <row r="53" spans="1:15" ht="15.75" x14ac:dyDescent="0.25">
      <c r="B53" s="172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</row>
    <row r="54" spans="1:15" x14ac:dyDescent="0.25">
      <c r="B54" s="44">
        <v>1</v>
      </c>
      <c r="C54" s="12" t="s">
        <v>330</v>
      </c>
      <c r="D54" s="71" t="s">
        <v>1641</v>
      </c>
      <c r="E54" s="71" t="s">
        <v>1642</v>
      </c>
      <c r="F54" s="70" t="s">
        <v>881</v>
      </c>
      <c r="G54" s="66">
        <v>46198</v>
      </c>
      <c r="H54" s="72"/>
      <c r="I54" s="22">
        <v>215100</v>
      </c>
      <c r="J54" s="73">
        <f>I54</f>
        <v>215100</v>
      </c>
      <c r="K54" s="68"/>
      <c r="L54" s="69"/>
      <c r="M54" s="69"/>
      <c r="N54" s="22" t="s">
        <v>155</v>
      </c>
      <c r="O54" s="70"/>
    </row>
    <row r="55" spans="1:15" x14ac:dyDescent="0.25">
      <c r="B55" s="44">
        <v>2</v>
      </c>
      <c r="C55" s="12" t="s">
        <v>330</v>
      </c>
      <c r="D55" s="71" t="s">
        <v>1643</v>
      </c>
      <c r="E55" s="71" t="s">
        <v>880</v>
      </c>
      <c r="F55" s="70" t="s">
        <v>881</v>
      </c>
      <c r="G55" s="66">
        <v>46198</v>
      </c>
      <c r="H55" s="72"/>
      <c r="I55" s="22">
        <v>304500</v>
      </c>
      <c r="J55" s="73"/>
      <c r="K55" s="68"/>
      <c r="L55" s="24">
        <f>I55</f>
        <v>304500</v>
      </c>
      <c r="M55" s="24"/>
      <c r="N55" s="22" t="s">
        <v>155</v>
      </c>
      <c r="O55" s="70"/>
    </row>
    <row r="56" spans="1:15" x14ac:dyDescent="0.25">
      <c r="B56" s="44">
        <v>3</v>
      </c>
      <c r="C56" s="12" t="s">
        <v>330</v>
      </c>
      <c r="D56" s="71" t="s">
        <v>1440</v>
      </c>
      <c r="E56" s="71" t="s">
        <v>1642</v>
      </c>
      <c r="F56" s="70" t="s">
        <v>881</v>
      </c>
      <c r="G56" s="66">
        <v>46198</v>
      </c>
      <c r="H56" s="72"/>
      <c r="I56" s="22">
        <v>183600</v>
      </c>
      <c r="J56" s="73"/>
      <c r="K56" s="68"/>
      <c r="L56" s="24">
        <f>I56</f>
        <v>183600</v>
      </c>
      <c r="M56" s="69"/>
      <c r="N56" s="22" t="s">
        <v>155</v>
      </c>
      <c r="O56" s="70"/>
    </row>
    <row r="57" spans="1:15" x14ac:dyDescent="0.25">
      <c r="B57" s="44">
        <v>4</v>
      </c>
      <c r="C57" s="43" t="s">
        <v>440</v>
      </c>
      <c r="D57" s="71" t="s">
        <v>1637</v>
      </c>
      <c r="E57" s="71" t="s">
        <v>1638</v>
      </c>
      <c r="F57" s="70" t="s">
        <v>41</v>
      </c>
      <c r="G57" s="66">
        <v>46198</v>
      </c>
      <c r="H57" s="72"/>
      <c r="I57" s="22">
        <v>215100</v>
      </c>
      <c r="J57" s="37">
        <f t="shared" ref="J57" si="5">I57</f>
        <v>215100</v>
      </c>
      <c r="K57" s="68"/>
      <c r="L57" s="24"/>
      <c r="M57" s="69"/>
      <c r="N57" s="22" t="s">
        <v>155</v>
      </c>
      <c r="O57" s="70"/>
    </row>
    <row r="58" spans="1:15" x14ac:dyDescent="0.25">
      <c r="B58" s="44">
        <v>5</v>
      </c>
      <c r="C58" s="43" t="s">
        <v>440</v>
      </c>
      <c r="D58" s="71" t="s">
        <v>1639</v>
      </c>
      <c r="E58" s="71" t="s">
        <v>1640</v>
      </c>
      <c r="F58" s="70" t="s">
        <v>41</v>
      </c>
      <c r="G58" s="66">
        <v>46198</v>
      </c>
      <c r="H58" s="72"/>
      <c r="I58" s="22">
        <v>72000</v>
      </c>
      <c r="J58" s="37"/>
      <c r="K58" s="68"/>
      <c r="L58" s="24">
        <f>I58</f>
        <v>72000</v>
      </c>
      <c r="M58" s="69"/>
      <c r="N58" s="22" t="s">
        <v>155</v>
      </c>
      <c r="O58" s="70"/>
    </row>
    <row r="59" spans="1:15" ht="15.75" x14ac:dyDescent="0.25">
      <c r="A59" t="s">
        <v>3</v>
      </c>
      <c r="B59" s="169" t="s">
        <v>25</v>
      </c>
      <c r="C59" s="170"/>
      <c r="D59" s="170"/>
      <c r="E59" s="170"/>
      <c r="F59" s="170"/>
      <c r="G59" s="170"/>
      <c r="H59" s="170"/>
      <c r="I59" s="171"/>
      <c r="J59" s="76">
        <f>SUM(J54:J58)</f>
        <v>430200</v>
      </c>
      <c r="K59" s="74">
        <f>SUM(K54:K58)</f>
        <v>0</v>
      </c>
      <c r="L59" s="60">
        <f>SUM(L54:L58)</f>
        <v>560100</v>
      </c>
      <c r="M59" s="60">
        <f>SUM(M54:M58)</f>
        <v>0</v>
      </c>
      <c r="N59" s="39"/>
      <c r="O59" s="75">
        <f>SUM(J59+K59+L59+M59)</f>
        <v>990300</v>
      </c>
    </row>
    <row r="60" spans="1:15" x14ac:dyDescent="0.25">
      <c r="D60" s="57"/>
      <c r="I60" s="58"/>
      <c r="J60" s="58"/>
    </row>
    <row r="61" spans="1:15" ht="15.75" x14ac:dyDescent="0.25">
      <c r="D61" s="57"/>
      <c r="G61" s="162" t="s">
        <v>1646</v>
      </c>
      <c r="H61" s="162"/>
      <c r="I61" s="163"/>
      <c r="J61" s="25">
        <f>SUM(J59+J52)</f>
        <v>3111700</v>
      </c>
      <c r="K61" s="74">
        <f>SUM(K59+K52)</f>
        <v>0</v>
      </c>
      <c r="L61" s="60">
        <f>SUM(L59+L52)</f>
        <v>1169100</v>
      </c>
      <c r="M61" s="60">
        <f>SUM(M59+M52)</f>
        <v>0</v>
      </c>
      <c r="N61" s="39"/>
      <c r="O61" s="77">
        <f>SUM(J61+K61+L61+M61)</f>
        <v>4280800</v>
      </c>
    </row>
    <row r="62" spans="1:15" ht="15.75" x14ac:dyDescent="0.25">
      <c r="D62" s="57"/>
      <c r="H62" s="41"/>
      <c r="I62" s="41"/>
      <c r="J62" s="41"/>
      <c r="K62" s="78"/>
      <c r="L62" s="78"/>
      <c r="M62" s="78"/>
      <c r="N62" s="79"/>
      <c r="O62" s="80"/>
    </row>
    <row r="63" spans="1:15" ht="15.75" x14ac:dyDescent="0.25">
      <c r="D63" s="57"/>
      <c r="H63" s="174" t="s">
        <v>27</v>
      </c>
      <c r="I63" s="175"/>
      <c r="J63" s="180" t="s">
        <v>14</v>
      </c>
      <c r="K63" s="180"/>
      <c r="L63" s="181" t="s">
        <v>15</v>
      </c>
      <c r="M63" s="181"/>
      <c r="N63" s="70"/>
      <c r="O63" s="182"/>
    </row>
    <row r="64" spans="1:15" ht="15.75" x14ac:dyDescent="0.25">
      <c r="D64" s="57"/>
      <c r="H64" s="176"/>
      <c r="I64" s="177"/>
      <c r="J64" s="6" t="s">
        <v>17</v>
      </c>
      <c r="K64" s="81" t="s">
        <v>18</v>
      </c>
      <c r="L64" s="82" t="s">
        <v>17</v>
      </c>
      <c r="M64" s="82" t="s">
        <v>18</v>
      </c>
      <c r="N64" s="70"/>
      <c r="O64" s="182"/>
    </row>
    <row r="65" spans="4:15" ht="15.75" x14ac:dyDescent="0.25">
      <c r="D65" s="57"/>
      <c r="H65" s="178"/>
      <c r="I65" s="179"/>
      <c r="J65" s="74">
        <f>SUM(J43,J61)</f>
        <v>18876300</v>
      </c>
      <c r="K65" s="74">
        <f>SUM(K61+K43)</f>
        <v>0</v>
      </c>
      <c r="L65" s="60">
        <f>SUM(L61+L43)</f>
        <v>3175793</v>
      </c>
      <c r="M65" s="60">
        <f>SUM(M61+M43)</f>
        <v>435000</v>
      </c>
      <c r="N65" s="39"/>
      <c r="O65" s="182"/>
    </row>
    <row r="66" spans="4:15" x14ac:dyDescent="0.25">
      <c r="D66" s="57"/>
      <c r="I66" s="58"/>
      <c r="J66" s="58"/>
    </row>
    <row r="67" spans="4:15" ht="18.75" x14ac:dyDescent="0.3">
      <c r="D67" s="57"/>
      <c r="H67" s="183"/>
      <c r="I67" s="183"/>
      <c r="J67" s="83"/>
      <c r="L67" s="184" t="s">
        <v>28</v>
      </c>
      <c r="M67" s="185"/>
      <c r="N67" s="84">
        <f>SUM(J65+L65)</f>
        <v>22052093</v>
      </c>
      <c r="O67" s="186">
        <f>SUM(N67+N68)</f>
        <v>22487093</v>
      </c>
    </row>
    <row r="68" spans="4:15" ht="18.75" x14ac:dyDescent="0.3">
      <c r="D68" s="57"/>
      <c r="H68" s="183"/>
      <c r="I68" s="183"/>
      <c r="J68" s="83"/>
      <c r="L68" s="184" t="s">
        <v>29</v>
      </c>
      <c r="M68" s="185"/>
      <c r="N68" s="84">
        <f>SUM(K65+M65)</f>
        <v>435000</v>
      </c>
      <c r="O68" s="187"/>
    </row>
    <row r="69" spans="4:15" ht="18.75" x14ac:dyDescent="0.3">
      <c r="D69" s="57"/>
      <c r="H69" s="168"/>
      <c r="I69" s="168"/>
      <c r="J69" s="85"/>
      <c r="K69" s="86"/>
    </row>
    <row r="70" spans="4:15" x14ac:dyDescent="0.25">
      <c r="D70" s="2" t="s">
        <v>30</v>
      </c>
      <c r="E70" s="1"/>
      <c r="F70" s="1"/>
      <c r="G70" s="1"/>
      <c r="H70" s="1"/>
      <c r="I70" s="1"/>
      <c r="J70" s="1"/>
      <c r="K70" s="1"/>
    </row>
    <row r="71" spans="4:15" x14ac:dyDescent="0.25">
      <c r="D71" s="2"/>
      <c r="E71" s="1"/>
      <c r="F71" s="1"/>
      <c r="G71" s="1"/>
      <c r="H71" s="1"/>
      <c r="I71" s="1"/>
      <c r="J71" s="1"/>
      <c r="K71" s="1"/>
    </row>
    <row r="72" spans="4:15" x14ac:dyDescent="0.25">
      <c r="D72" s="3" t="s">
        <v>31</v>
      </c>
      <c r="E72" s="3"/>
      <c r="F72" s="3" t="s">
        <v>32</v>
      </c>
      <c r="G72" s="3"/>
      <c r="H72" s="3" t="s">
        <v>33</v>
      </c>
      <c r="I72" s="3"/>
      <c r="J72" s="3" t="s">
        <v>34</v>
      </c>
      <c r="K72" s="3"/>
    </row>
    <row r="73" spans="4:15" x14ac:dyDescent="0.25">
      <c r="D73" s="3"/>
      <c r="E73" s="3"/>
      <c r="F73" s="3"/>
      <c r="G73" s="3"/>
      <c r="H73" s="3"/>
      <c r="I73" s="3"/>
      <c r="J73" s="3"/>
      <c r="K73" s="3"/>
    </row>
    <row r="74" spans="4:15" x14ac:dyDescent="0.25">
      <c r="D74" s="3"/>
      <c r="E74" s="3"/>
      <c r="F74" s="3"/>
      <c r="G74" s="3"/>
      <c r="H74" s="3"/>
      <c r="I74" s="3"/>
      <c r="J74" s="3"/>
      <c r="K74" s="3"/>
    </row>
    <row r="75" spans="4:15" x14ac:dyDescent="0.25">
      <c r="D75" s="3"/>
      <c r="E75" s="3"/>
      <c r="F75" s="3"/>
      <c r="G75" s="3"/>
      <c r="H75" s="3"/>
      <c r="I75" s="3"/>
      <c r="J75" s="3"/>
      <c r="K75" s="3"/>
    </row>
    <row r="76" spans="4:15" x14ac:dyDescent="0.25">
      <c r="D76" s="3" t="s">
        <v>35</v>
      </c>
      <c r="E76" s="3"/>
      <c r="F76" s="3" t="s">
        <v>36</v>
      </c>
      <c r="G76" s="3"/>
      <c r="H76" s="3" t="s">
        <v>36</v>
      </c>
      <c r="I76" s="3"/>
      <c r="J76" s="3" t="s">
        <v>37</v>
      </c>
      <c r="K76" s="3"/>
    </row>
    <row r="77" spans="4:15" x14ac:dyDescent="0.25">
      <c r="D77" s="57"/>
    </row>
    <row r="78" spans="4:15" x14ac:dyDescent="0.25">
      <c r="D78" s="57"/>
    </row>
    <row r="79" spans="4:15" x14ac:dyDescent="0.25">
      <c r="D79" s="57"/>
    </row>
    <row r="80" spans="4:15" x14ac:dyDescent="0.25">
      <c r="D80" s="57"/>
    </row>
    <row r="81" spans="4:4" x14ac:dyDescent="0.25">
      <c r="D81" s="57"/>
    </row>
  </sheetData>
  <mergeCells count="48">
    <mergeCell ref="J47:K47"/>
    <mergeCell ref="L47:M47"/>
    <mergeCell ref="H69:I69"/>
    <mergeCell ref="B52:I52"/>
    <mergeCell ref="B53:O53"/>
    <mergeCell ref="B59:I59"/>
    <mergeCell ref="H63:I65"/>
    <mergeCell ref="J63:K63"/>
    <mergeCell ref="L63:M63"/>
    <mergeCell ref="O63:O65"/>
    <mergeCell ref="G61:I61"/>
    <mergeCell ref="H67:I67"/>
    <mergeCell ref="L67:M67"/>
    <mergeCell ref="O67:O68"/>
    <mergeCell ref="H68:I68"/>
    <mergeCell ref="L68:M68"/>
    <mergeCell ref="G46:G47"/>
    <mergeCell ref="B17:O17"/>
    <mergeCell ref="B32:I32"/>
    <mergeCell ref="B33:O33"/>
    <mergeCell ref="B40:I40"/>
    <mergeCell ref="G43:I43"/>
    <mergeCell ref="B45:D45"/>
    <mergeCell ref="B46:B47"/>
    <mergeCell ref="C46:C47"/>
    <mergeCell ref="D46:D47"/>
    <mergeCell ref="E46:E47"/>
    <mergeCell ref="F46:F47"/>
    <mergeCell ref="H46:H47"/>
    <mergeCell ref="I46:I47"/>
    <mergeCell ref="J46:N46"/>
    <mergeCell ref="O46:O47"/>
    <mergeCell ref="B16:I16"/>
    <mergeCell ref="B3:D3"/>
    <mergeCell ref="L4:O4"/>
    <mergeCell ref="B5:D5"/>
    <mergeCell ref="B6:B7"/>
    <mergeCell ref="C6:C7"/>
    <mergeCell ref="D6:D7"/>
    <mergeCell ref="E6:E7"/>
    <mergeCell ref="F6:F7"/>
    <mergeCell ref="G6:G7"/>
    <mergeCell ref="H6:H7"/>
    <mergeCell ref="I6:I7"/>
    <mergeCell ref="J6:N6"/>
    <mergeCell ref="O6:O7"/>
    <mergeCell ref="J7:K7"/>
    <mergeCell ref="L7:M7"/>
  </mergeCells>
  <pageMargins left="0" right="0" top="0" bottom="0" header="0" footer="0"/>
  <pageSetup paperSize="9" scale="6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16</vt:i4>
      </vt:variant>
    </vt:vector>
  </HeadingPairs>
  <TitlesOfParts>
    <vt:vector size="38" baseType="lpstr">
      <vt:lpstr>01-06</vt:lpstr>
      <vt:lpstr>02-06</vt:lpstr>
      <vt:lpstr>03-06</vt:lpstr>
      <vt:lpstr>04-06</vt:lpstr>
      <vt:lpstr>05-06</vt:lpstr>
      <vt:lpstr>06-06</vt:lpstr>
      <vt:lpstr>08-06</vt:lpstr>
      <vt:lpstr>09-06</vt:lpstr>
      <vt:lpstr>10-06</vt:lpstr>
      <vt:lpstr>11-06</vt:lpstr>
      <vt:lpstr>12-06</vt:lpstr>
      <vt:lpstr>13-06</vt:lpstr>
      <vt:lpstr>15-06</vt:lpstr>
      <vt:lpstr>16-06</vt:lpstr>
      <vt:lpstr>17-06</vt:lpstr>
      <vt:lpstr>18-06</vt:lpstr>
      <vt:lpstr>19-06</vt:lpstr>
      <vt:lpstr>20-06</vt:lpstr>
      <vt:lpstr>22-06</vt:lpstr>
      <vt:lpstr>23-06</vt:lpstr>
      <vt:lpstr>24-06</vt:lpstr>
      <vt:lpstr>25-06</vt:lpstr>
      <vt:lpstr>'01-06'!Print_Area</vt:lpstr>
      <vt:lpstr>'02-06'!Print_Area</vt:lpstr>
      <vt:lpstr>'03-06'!Print_Area</vt:lpstr>
      <vt:lpstr>'04-06'!Print_Area</vt:lpstr>
      <vt:lpstr>'05-06'!Print_Area</vt:lpstr>
      <vt:lpstr>'10-06'!Print_Area</vt:lpstr>
      <vt:lpstr>'11-06'!Print_Area</vt:lpstr>
      <vt:lpstr>'12-06'!Print_Area</vt:lpstr>
      <vt:lpstr>'13-06'!Print_Area</vt:lpstr>
      <vt:lpstr>'15-06'!Print_Area</vt:lpstr>
      <vt:lpstr>'16-06'!Print_Area</vt:lpstr>
      <vt:lpstr>'17-06'!Print_Area</vt:lpstr>
      <vt:lpstr>'18-06'!Print_Area</vt:lpstr>
      <vt:lpstr>'19-06'!Print_Area</vt:lpstr>
      <vt:lpstr>'22-06'!Print_Area</vt:lpstr>
      <vt:lpstr>'25-06'!Print_Area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T470S</cp:lastModifiedBy>
  <cp:lastPrinted>2026-06-25T08:24:54Z</cp:lastPrinted>
  <dcterms:created xsi:type="dcterms:W3CDTF">2026-06-01T00:50:02Z</dcterms:created>
  <dcterms:modified xsi:type="dcterms:W3CDTF">2026-06-27T05:08:31Z</dcterms:modified>
</cp:coreProperties>
</file>